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git\resources\commodities\"/>
    </mc:Choice>
  </mc:AlternateContent>
  <xr:revisionPtr revIDLastSave="0" documentId="13_ncr:1_{217C502B-AA94-43F8-8884-79A76C05A9F1}" xr6:coauthVersionLast="47" xr6:coauthVersionMax="47" xr10:uidLastSave="{00000000-0000-0000-0000-000000000000}"/>
  <bookViews>
    <workbookView xWindow="-108" yWindow="-108" windowWidth="46284" windowHeight="23244" activeTab="3" xr2:uid="{00000000-000D-0000-FFFF-FFFF00000000}"/>
  </bookViews>
  <sheets>
    <sheet name="Pf SWGA" sheetId="4" r:id="rId1"/>
    <sheet name="NOMADS16" sheetId="2" r:id="rId2"/>
    <sheet name="NOMADS8" sheetId="3" r:id="rId3"/>
    <sheet name="MVP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5" l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<sst xmlns="http://schemas.openxmlformats.org/spreadsheetml/2006/main" count="269" uniqueCount="131">
  <si>
    <t>Primer Name</t>
  </si>
  <si>
    <t>DNA Sequence</t>
  </si>
  <si>
    <t>Synthesis Scale</t>
  </si>
  <si>
    <t>Quality</t>
  </si>
  <si>
    <t>Length</t>
  </si>
  <si>
    <t>AMA1_S11_F</t>
  </si>
  <si>
    <t>CACCTTGTTTTGAAACCTTTACACA</t>
  </si>
  <si>
    <t>25nm</t>
  </si>
  <si>
    <t>STD</t>
  </si>
  <si>
    <t>AMA1_S11_R</t>
  </si>
  <si>
    <t>TGTTGTACACATTTTCCCATAACA</t>
  </si>
  <si>
    <t>CSP_S3_F</t>
  </si>
  <si>
    <t>CTTTTCCGGGGTCCCTTTCA</t>
  </si>
  <si>
    <t>CSP_S3_R</t>
  </si>
  <si>
    <t>CGTGTAAAAATAAGTAGAAACCACGT</t>
  </si>
  <si>
    <t>HRP2_S12_F</t>
  </si>
  <si>
    <t>TCGCTATCCCATAAATTACAAAACA</t>
  </si>
  <si>
    <t>HRP2_S12_R</t>
  </si>
  <si>
    <t>ACCATAATAAATTACTTTCCAGTCACA</t>
  </si>
  <si>
    <t>HRP2dwn_S5_F</t>
  </si>
  <si>
    <t>GCAGTAACATCATGGTTTTACATTACA</t>
  </si>
  <si>
    <t>HRP2dwn_S5_R</t>
  </si>
  <si>
    <t>GGCTAATTTTTCAGGAGCTTCTACC</t>
  </si>
  <si>
    <t>HRP2up_S11_F</t>
  </si>
  <si>
    <t>TGTGGGAATTTATAAGTTTCCAAGT</t>
  </si>
  <si>
    <t>HRP2up_S11_R</t>
  </si>
  <si>
    <t>ACCACACCTACGTCAGTAACA</t>
  </si>
  <si>
    <t>HRP3_S12_F</t>
  </si>
  <si>
    <t>AGCATATTATCTTCACTCACCCC</t>
  </si>
  <si>
    <t>HRP3_S12_R</t>
  </si>
  <si>
    <t>GTGGTATTCAGAACATTCGGATTTATT</t>
  </si>
  <si>
    <t>HRP3dwn_S1_F</t>
  </si>
  <si>
    <t>GCTAGGTGTATACGCACAGA</t>
  </si>
  <si>
    <t>HRP3dwn_S1_R</t>
  </si>
  <si>
    <t>ATTCCCATGTTAAGCCTCTATTTTT</t>
  </si>
  <si>
    <t>HRP3up_S6_F</t>
  </si>
  <si>
    <t>TCAATCTGAGGGATTAGTTGATGA</t>
  </si>
  <si>
    <t>HRP3up_S6_R</t>
  </si>
  <si>
    <t>ACACCGTCAAATCCTCGATA</t>
  </si>
  <si>
    <t>CRT1_s8_F</t>
  </si>
  <si>
    <t>TTTCATTGTCTTCCACATATATGACA</t>
  </si>
  <si>
    <t>CRT1_s8_R</t>
  </si>
  <si>
    <t>TGCTCCTTTGACACAGTATGA</t>
  </si>
  <si>
    <t>DHFR_s0_F</t>
  </si>
  <si>
    <t>AGCCATTTTTGTATTCCCAAATAGC</t>
  </si>
  <si>
    <t>DHFR_s0_R</t>
  </si>
  <si>
    <t>ACCTCCTTAACAGAACTAGCCG</t>
  </si>
  <si>
    <t>DHPS_s14_F</t>
  </si>
  <si>
    <t>AGAACAGCTATCGTATGAGGTACA</t>
  </si>
  <si>
    <t>DHPS_s14_R</t>
  </si>
  <si>
    <t>TCACATGTTTGCACTTTCCTTT</t>
  </si>
  <si>
    <t>K13_s14_F</t>
  </si>
  <si>
    <t>ATCCAAGCCTAGAACCTAATCC</t>
  </si>
  <si>
    <t>K13_s14_R</t>
  </si>
  <si>
    <t>GGCGTAAATATTCGTGTTATAATTTCT</t>
  </si>
  <si>
    <t>MDR1part_s6_F</t>
  </si>
  <si>
    <t>AGAGTTGAACAAAAAGAGTACCGC</t>
  </si>
  <si>
    <t>MDR1part_s6_R</t>
  </si>
  <si>
    <t>CCAATGTTGCATCTTCTCTTCCA</t>
  </si>
  <si>
    <t>MSP2_s6_F</t>
  </si>
  <si>
    <t>CACATGGACAACCTGCATCAC</t>
  </si>
  <si>
    <t>MSP2_s6_R</t>
  </si>
  <si>
    <t>GTGCCACATTATAGCGCCCT</t>
  </si>
  <si>
    <t>PMI_s9_F</t>
  </si>
  <si>
    <t>AAACAGACAATACCCGTCTACA</t>
  </si>
  <si>
    <t>PMI_s9_R</t>
  </si>
  <si>
    <t>ACAAACTAGCCATTTGTATGCCT</t>
  </si>
  <si>
    <t>PMIII_s6_F</t>
  </si>
  <si>
    <t>AAAAACGGGTCTGCCAAAAT</t>
  </si>
  <si>
    <t>PMIII_s6_R</t>
  </si>
  <si>
    <t>TCAACCCAGCATGTGTTTCT</t>
  </si>
  <si>
    <t>Pf1</t>
  </si>
  <si>
    <t>ATATATATAT*A</t>
  </si>
  <si>
    <t>Pf2</t>
  </si>
  <si>
    <t>TATATATAAT*T</t>
  </si>
  <si>
    <t>Pf3</t>
  </si>
  <si>
    <t>TATATATATA*A</t>
  </si>
  <si>
    <t>Pf4</t>
  </si>
  <si>
    <t>TAATATATA*T</t>
  </si>
  <si>
    <t>Pf5</t>
  </si>
  <si>
    <t>TATATATATT*T</t>
  </si>
  <si>
    <t>Pf6</t>
  </si>
  <si>
    <t>ATTATTATTA*T</t>
  </si>
  <si>
    <t>Pf7</t>
  </si>
  <si>
    <t>TAATAATAAT*A</t>
  </si>
  <si>
    <t>Pf8</t>
  </si>
  <si>
    <t>AAAAAAAAAAA*A</t>
  </si>
  <si>
    <t>Pf9</t>
  </si>
  <si>
    <t>AATAATAATA*A</t>
  </si>
  <si>
    <t>Pf10</t>
  </si>
  <si>
    <t>TATATATA*T</t>
  </si>
  <si>
    <t>* indicates that the 3’ nucleotide is joined thorugh a phosphorothioate bond to inhibit the exonucleotide acitivity of phi29</t>
  </si>
  <si>
    <t>TGATCCGAAGCACTCAATTCAA</t>
  </si>
  <si>
    <t>AGCAAAAATGACGAGCGTTATAGA</t>
  </si>
  <si>
    <t>AGCTTCGGTGTCGTTCCTAAA</t>
  </si>
  <si>
    <t>TCGCAAACGTAATTAAATATTCACAAA</t>
  </si>
  <si>
    <t>CCTTATTCCAGGAATACCAGTGC</t>
  </si>
  <si>
    <t>CCATTTTTGTATTCCCAAATAGCTAGT</t>
  </si>
  <si>
    <t>TCCCTAGTACCATTAGCTTCCCA</t>
  </si>
  <si>
    <t>TCCATTCCTCATGTGTATACAACA</t>
  </si>
  <si>
    <t>TGTTTAATCACATGTTTGCACTTTCC</t>
  </si>
  <si>
    <t>CCGTTTTTGCCTCCGTACTT</t>
  </si>
  <si>
    <t>AGACAGTAGAAAAATCGCTATCCT</t>
  </si>
  <si>
    <t>GCCGTTTTTGCTTCCGTACTT</t>
  </si>
  <si>
    <t>AAGGGAAAATCATAAACAATCAAGT</t>
  </si>
  <si>
    <t>GGAAGACATCATGTAACCAGAGA</t>
  </si>
  <si>
    <t>GCGGAGTTTTTGCATTTAGTTCAG</t>
  </si>
  <si>
    <t>CGTTTAAATGTTTACCTGCACAACA</t>
  </si>
  <si>
    <t>ACTTGCAACAGTTCTTATTCCCA</t>
  </si>
  <si>
    <t>25 nm</t>
  </si>
  <si>
    <t>ama1-d2-18-ck_v43_F</t>
  </si>
  <si>
    <t>ama1-d2-18-ck_v43_R</t>
  </si>
  <si>
    <t>crt-k76_v27_F</t>
  </si>
  <si>
    <t>crt-k76_v27_R</t>
  </si>
  <si>
    <t>csp-rtss-repeat_v4_F</t>
  </si>
  <si>
    <t>csp-rtss-repeat_v4_R</t>
  </si>
  <si>
    <t>dhfr-p51-p164_v19_F</t>
  </si>
  <si>
    <t>dhfr-p51-p164_v19_R</t>
  </si>
  <si>
    <t>dhps-p436-p613_v55_F</t>
  </si>
  <si>
    <t>dhps-p436-p613_v55_R</t>
  </si>
  <si>
    <t>hrp2-exon2-complete_v26_F</t>
  </si>
  <si>
    <t>hrp2-exon2-complete_v26_R</t>
  </si>
  <si>
    <t>hrp3-exon2-complete_v21_F</t>
  </si>
  <si>
    <t>hrp3-exon2-complete_v21_R</t>
  </si>
  <si>
    <t>kelch13-cterm_v5_F</t>
  </si>
  <si>
    <t>kelch13-cterm_v5_R</t>
  </si>
  <si>
    <t>mdr1-p1034-p1246_v19_F</t>
  </si>
  <si>
    <t>mdr1-p1034-p1246_v19_R</t>
  </si>
  <si>
    <t>mdr1-p86-p184_v26_F</t>
  </si>
  <si>
    <t>mdr1-p86-p184_v26_R</t>
  </si>
  <si>
    <t>CAACACGCATATCCAATAGACCA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</si>
</sst>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ourier New"/>
      <family val="3"/>
    </font>
    <font>
      <sz val="14"/>
      <name val="Calibri"/>
      <family val="2"/>
      <scheme val="minor"/>
    </font>
    <font>
      <sz val="14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28"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ourier New"/>
        <family val="3"/>
        <scheme val="none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ourier New"/>
        <family val="3"/>
        <scheme val="none"/>
      </font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ourier New"/>
        <family val="3"/>
        <scheme val="none"/>
      </font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ourier New"/>
        <family val="3"/>
        <scheme val="none"/>
      </font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strike val="0"/>
        <outline val="0"/>
        <shadow val="0"/>
        <u val="none"/>
        <vertAlign val="baseline"/>
        <sz val="14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70BDA4-9C30-4CFF-BCEC-C729440290F6}" name="sWGA" displayName="sWGA" ref="A1:E11" totalsRowShown="0" headerRowDxfId="27" dataDxfId="26">
  <autoFilter ref="A1:E11" xr:uid="{CB70BDA4-9C30-4CFF-BCEC-C729440290F6}"/>
  <tableColumns count="5">
    <tableColumn id="1" xr3:uid="{93FD477B-089F-4BC3-9DF2-417B8F56B0F5}" name="Primer Name" dataDxfId="25"/>
    <tableColumn id="2" xr3:uid="{81AA5EB8-D2CF-495F-9A5E-84DA1EB9902D}" name="DNA Sequence" dataDxfId="24"/>
    <tableColumn id="3" xr3:uid="{8D0CB537-2248-407E-9438-0C3C5724162F}" name="Synthesis Scale" dataDxfId="23"/>
    <tableColumn id="4" xr3:uid="{A5252E20-C65E-422E-9A68-D60A08FE0DCC}" name="Quality" dataDxfId="22"/>
    <tableColumn id="5" xr3:uid="{4DCCC470-9E65-444F-BEB0-9E4B31F761C4}" name="Length" dataDxfId="21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94D221-E595-4867-8615-8DEB52233152}" name="N_Sixteen" displayName="N_Sixteen" ref="A1:E17" totalsRowShown="0" headerRowDxfId="20" dataDxfId="19">
  <autoFilter ref="A1:E17" xr:uid="{CA94D221-E595-4867-8615-8DEB52233152}"/>
  <tableColumns count="5">
    <tableColumn id="1" xr3:uid="{46C17152-F102-4AA0-8D4F-E95EE27B8420}" name="Primer Name" dataDxfId="18"/>
    <tableColumn id="2" xr3:uid="{5C4BE14F-BA8F-4665-B1F2-B33FD350FCC9}" name="DNA Sequence" dataDxfId="17"/>
    <tableColumn id="3" xr3:uid="{AD9E57F6-B8C1-4BC9-949B-BAFD223E8E29}" name="Synthesis Scale" dataDxfId="16"/>
    <tableColumn id="4" xr3:uid="{78063209-DD52-47E4-9225-9321FCC23AC3}" name="Quality" dataDxfId="15"/>
    <tableColumn id="5" xr3:uid="{E8927E36-E840-4680-9852-17F3A6B202C7}" name="Length" dataDxfId="14">
      <calculatedColumnFormula>LEN(B2)</calculatedColumnFormula>
    </tableColumn>
  </tableColumns>
  <tableStyleInfo name="TableStyleMedium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2B9C30B-4478-4F32-96A1-B4EC857B3EE5}" name="Table4" displayName="Table4" ref="A1:E17" totalsRowShown="0" headerRowDxfId="13" dataDxfId="12">
  <autoFilter ref="A1:E17" xr:uid="{E2B9C30B-4478-4F32-96A1-B4EC857B3EE5}"/>
  <tableColumns count="5">
    <tableColumn id="1" xr3:uid="{41CBD31F-6B2A-401B-8324-299617F44752}" name="Primer Name" dataDxfId="11"/>
    <tableColumn id="2" xr3:uid="{20BF1F06-90F0-4AD7-9EF5-386DB439154F}" name="DNA Sequence" dataDxfId="10"/>
    <tableColumn id="3" xr3:uid="{323D77EB-B1C7-4284-849F-232FC522BF6F}" name="Synthesis Scale" dataDxfId="9"/>
    <tableColumn id="4" xr3:uid="{226CD68C-3D09-4C6A-A363-EB0F1D99E6D5}" name="Quality" dataDxfId="8"/>
    <tableColumn id="5" xr3:uid="{B3697C33-ADD9-4A10-B760-186BFF12815F}" name="Length" dataDxfId="7"/>
  </tableColumns>
  <tableStyleInfo name="TableStyleMedium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441DD9-7244-4A84-808A-79B508344DF4}" name="MVP" displayName="MVP" ref="A1:E21" totalsRowShown="0" headerRowDxfId="6" dataDxfId="5">
  <autoFilter ref="A1:E21" xr:uid="{38441DD9-7244-4A84-808A-79B508344DF4}"/>
  <tableColumns count="5">
    <tableColumn id="1" xr3:uid="{4D120D44-9E65-4A77-878C-C40E18B48F06}" name="Primer Name" dataDxfId="4"/>
    <tableColumn id="2" xr3:uid="{D64440A8-94A8-48E6-9354-CC1DCD1FAE00}" name="DNA Sequence" dataDxfId="3"/>
    <tableColumn id="3" xr3:uid="{E336139C-B53A-427A-B6DF-9EC9EFD3CCDD}" name="Synthesis Scale" dataDxfId="2"/>
    <tableColumn id="4" xr3:uid="{A95AE6AE-0582-4F5F-9904-197D1A49ACAA}" name="Quality" dataDxfId="1"/>
    <tableColumn id="5" xr3:uid="{96A58318-2E0E-4CE9-9743-B8AA43D2CEE7}" name="Length" dataDxfId="0">
      <calculatedColumnFormula>LEN(MVP[[#This Row],[DNA Sequence]])</calculatedColumnFormula>
    </tableColumn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E2FE-B80E-43C8-9B44-AAE084F8E4BA}">
  <sheetPr>
    <tabColor rgb="FFFFC000"/>
  </sheetPr>
  <dimension ref="A1:E13"/>
  <sheetViews>
    <sheetView workbookViewId="0">
      <selection activeCell="E10" sqref="E10"/>
    </sheetView>
  </sheetViews>
  <sheetFormatPr defaultRowHeight="14.4" x14ac:dyDescent="0.3"/>
  <cols>
    <col min="1" max="1" width="14.88671875" bestFit="1" customWidth="1"/>
    <col min="2" max="2" width="21.77734375" bestFit="1" customWidth="1"/>
    <col min="3" max="3" width="13.21875" bestFit="1" customWidth="1"/>
    <col min="4" max="4" width="11" bestFit="1" customWidth="1"/>
    <col min="5" max="5" width="10.44140625" bestFit="1" customWidth="1"/>
  </cols>
  <sheetData>
    <row r="1" spans="1:5" ht="36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18" x14ac:dyDescent="0.35">
      <c r="A2" s="5" t="s">
        <v>71</v>
      </c>
      <c r="B2" s="6" t="s">
        <v>72</v>
      </c>
      <c r="C2" s="5" t="s">
        <v>7</v>
      </c>
      <c r="D2" s="5" t="s">
        <v>8</v>
      </c>
      <c r="E2" s="5">
        <v>11</v>
      </c>
    </row>
    <row r="3" spans="1:5" ht="18" x14ac:dyDescent="0.35">
      <c r="A3" s="5" t="s">
        <v>73</v>
      </c>
      <c r="B3" s="6" t="s">
        <v>74</v>
      </c>
      <c r="C3" s="5" t="s">
        <v>7</v>
      </c>
      <c r="D3" s="5" t="s">
        <v>8</v>
      </c>
      <c r="E3" s="5">
        <v>11</v>
      </c>
    </row>
    <row r="4" spans="1:5" ht="18" x14ac:dyDescent="0.35">
      <c r="A4" s="5" t="s">
        <v>75</v>
      </c>
      <c r="B4" s="6" t="s">
        <v>76</v>
      </c>
      <c r="C4" s="5" t="s">
        <v>7</v>
      </c>
      <c r="D4" s="5" t="s">
        <v>8</v>
      </c>
      <c r="E4" s="5">
        <v>11</v>
      </c>
    </row>
    <row r="5" spans="1:5" ht="18" x14ac:dyDescent="0.35">
      <c r="A5" s="5" t="s">
        <v>77</v>
      </c>
      <c r="B5" s="6" t="s">
        <v>78</v>
      </c>
      <c r="C5" s="5" t="s">
        <v>7</v>
      </c>
      <c r="D5" s="5" t="s">
        <v>8</v>
      </c>
      <c r="E5" s="5">
        <v>10</v>
      </c>
    </row>
    <row r="6" spans="1:5" ht="18" x14ac:dyDescent="0.35">
      <c r="A6" s="5" t="s">
        <v>79</v>
      </c>
      <c r="B6" s="6" t="s">
        <v>80</v>
      </c>
      <c r="C6" s="5" t="s">
        <v>7</v>
      </c>
      <c r="D6" s="5" t="s">
        <v>8</v>
      </c>
      <c r="E6" s="5">
        <v>11</v>
      </c>
    </row>
    <row r="7" spans="1:5" ht="18" x14ac:dyDescent="0.35">
      <c r="A7" s="5" t="s">
        <v>81</v>
      </c>
      <c r="B7" s="6" t="s">
        <v>82</v>
      </c>
      <c r="C7" s="5" t="s">
        <v>7</v>
      </c>
      <c r="D7" s="5" t="s">
        <v>8</v>
      </c>
      <c r="E7" s="5">
        <v>11</v>
      </c>
    </row>
    <row r="8" spans="1:5" ht="18" x14ac:dyDescent="0.35">
      <c r="A8" s="5" t="s">
        <v>83</v>
      </c>
      <c r="B8" s="6" t="s">
        <v>84</v>
      </c>
      <c r="C8" s="5" t="s">
        <v>7</v>
      </c>
      <c r="D8" s="5" t="s">
        <v>8</v>
      </c>
      <c r="E8" s="5">
        <v>11</v>
      </c>
    </row>
    <row r="9" spans="1:5" ht="18" x14ac:dyDescent="0.35">
      <c r="A9" s="5" t="s">
        <v>85</v>
      </c>
      <c r="B9" s="6" t="s">
        <v>86</v>
      </c>
      <c r="C9" s="5" t="s">
        <v>7</v>
      </c>
      <c r="D9" s="5" t="s">
        <v>8</v>
      </c>
      <c r="E9" s="5">
        <v>12</v>
      </c>
    </row>
    <row r="10" spans="1:5" ht="18" x14ac:dyDescent="0.35">
      <c r="A10" s="5" t="s">
        <v>87</v>
      </c>
      <c r="B10" s="6" t="s">
        <v>88</v>
      </c>
      <c r="C10" s="5" t="s">
        <v>7</v>
      </c>
      <c r="D10" s="5" t="s">
        <v>8</v>
      </c>
      <c r="E10" s="5">
        <v>11</v>
      </c>
    </row>
    <row r="11" spans="1:5" ht="18" x14ac:dyDescent="0.35">
      <c r="A11" s="5" t="s">
        <v>89</v>
      </c>
      <c r="B11" s="6" t="s">
        <v>90</v>
      </c>
      <c r="C11" s="5" t="s">
        <v>7</v>
      </c>
      <c r="D11" s="5" t="s">
        <v>8</v>
      </c>
      <c r="E11" s="5">
        <v>9</v>
      </c>
    </row>
    <row r="13" spans="1:5" x14ac:dyDescent="0.3">
      <c r="A13" t="s">
        <v>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D8388-96FC-49B1-AF63-9DD3D3EC7EAE}">
  <sheetPr>
    <tabColor rgb="FFFFC000"/>
  </sheetPr>
  <dimension ref="A1:E17"/>
  <sheetViews>
    <sheetView workbookViewId="0">
      <selection activeCell="G10" sqref="G10"/>
    </sheetView>
  </sheetViews>
  <sheetFormatPr defaultRowHeight="14.4" x14ac:dyDescent="0.3"/>
  <cols>
    <col min="1" max="1" width="20.77734375" bestFit="1" customWidth="1"/>
    <col min="2" max="2" width="50.33203125" bestFit="1" customWidth="1"/>
    <col min="3" max="3" width="15.5546875" customWidth="1"/>
    <col min="4" max="4" width="12.5546875" bestFit="1" customWidth="1"/>
    <col min="5" max="5" width="11.77734375" bestFit="1" customWidth="1"/>
  </cols>
  <sheetData>
    <row r="1" spans="1:5" ht="36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18" x14ac:dyDescent="0.35">
      <c r="A2" s="5" t="s">
        <v>5</v>
      </c>
      <c r="B2" s="6" t="s">
        <v>6</v>
      </c>
      <c r="C2" s="5" t="s">
        <v>7</v>
      </c>
      <c r="D2" s="5" t="s">
        <v>8</v>
      </c>
      <c r="E2" s="5">
        <f>LEN(B2)</f>
        <v>25</v>
      </c>
    </row>
    <row r="3" spans="1:5" ht="18" x14ac:dyDescent="0.35">
      <c r="A3" s="5" t="s">
        <v>9</v>
      </c>
      <c r="B3" s="6" t="s">
        <v>10</v>
      </c>
      <c r="C3" s="5" t="s">
        <v>7</v>
      </c>
      <c r="D3" s="5" t="s">
        <v>8</v>
      </c>
      <c r="E3" s="5">
        <f t="shared" ref="E3:E17" si="0">LEN(B3)</f>
        <v>24</v>
      </c>
    </row>
    <row r="4" spans="1:5" ht="18" x14ac:dyDescent="0.35">
      <c r="A4" s="5" t="s">
        <v>11</v>
      </c>
      <c r="B4" s="6" t="s">
        <v>12</v>
      </c>
      <c r="C4" s="5" t="s">
        <v>7</v>
      </c>
      <c r="D4" s="5" t="s">
        <v>8</v>
      </c>
      <c r="E4" s="5">
        <f t="shared" si="0"/>
        <v>20</v>
      </c>
    </row>
    <row r="5" spans="1:5" ht="18" x14ac:dyDescent="0.35">
      <c r="A5" s="5" t="s">
        <v>13</v>
      </c>
      <c r="B5" s="6" t="s">
        <v>14</v>
      </c>
      <c r="C5" s="5" t="s">
        <v>7</v>
      </c>
      <c r="D5" s="5" t="s">
        <v>8</v>
      </c>
      <c r="E5" s="5">
        <f t="shared" si="0"/>
        <v>26</v>
      </c>
    </row>
    <row r="6" spans="1:5" ht="18" x14ac:dyDescent="0.35">
      <c r="A6" s="5" t="s">
        <v>15</v>
      </c>
      <c r="B6" s="6" t="s">
        <v>16</v>
      </c>
      <c r="C6" s="5" t="s">
        <v>7</v>
      </c>
      <c r="D6" s="5" t="s">
        <v>8</v>
      </c>
      <c r="E6" s="5">
        <f t="shared" si="0"/>
        <v>25</v>
      </c>
    </row>
    <row r="7" spans="1:5" ht="18" x14ac:dyDescent="0.35">
      <c r="A7" s="5" t="s">
        <v>17</v>
      </c>
      <c r="B7" s="6" t="s">
        <v>18</v>
      </c>
      <c r="C7" s="5" t="s">
        <v>7</v>
      </c>
      <c r="D7" s="5" t="s">
        <v>8</v>
      </c>
      <c r="E7" s="5">
        <f t="shared" si="0"/>
        <v>27</v>
      </c>
    </row>
    <row r="8" spans="1:5" ht="18" x14ac:dyDescent="0.35">
      <c r="A8" s="5" t="s">
        <v>19</v>
      </c>
      <c r="B8" s="6" t="s">
        <v>20</v>
      </c>
      <c r="C8" s="5" t="s">
        <v>7</v>
      </c>
      <c r="D8" s="5" t="s">
        <v>8</v>
      </c>
      <c r="E8" s="5">
        <f t="shared" si="0"/>
        <v>27</v>
      </c>
    </row>
    <row r="9" spans="1:5" ht="18" x14ac:dyDescent="0.35">
      <c r="A9" s="5" t="s">
        <v>21</v>
      </c>
      <c r="B9" s="6" t="s">
        <v>22</v>
      </c>
      <c r="C9" s="5" t="s">
        <v>7</v>
      </c>
      <c r="D9" s="5" t="s">
        <v>8</v>
      </c>
      <c r="E9" s="5">
        <f t="shared" si="0"/>
        <v>25</v>
      </c>
    </row>
    <row r="10" spans="1:5" ht="18" x14ac:dyDescent="0.35">
      <c r="A10" s="5" t="s">
        <v>23</v>
      </c>
      <c r="B10" s="6" t="s">
        <v>24</v>
      </c>
      <c r="C10" s="5" t="s">
        <v>7</v>
      </c>
      <c r="D10" s="5" t="s">
        <v>8</v>
      </c>
      <c r="E10" s="5">
        <f t="shared" si="0"/>
        <v>25</v>
      </c>
    </row>
    <row r="11" spans="1:5" ht="18" x14ac:dyDescent="0.35">
      <c r="A11" s="5" t="s">
        <v>25</v>
      </c>
      <c r="B11" s="6" t="s">
        <v>26</v>
      </c>
      <c r="C11" s="5" t="s">
        <v>7</v>
      </c>
      <c r="D11" s="5" t="s">
        <v>8</v>
      </c>
      <c r="E11" s="5">
        <f t="shared" si="0"/>
        <v>21</v>
      </c>
    </row>
    <row r="12" spans="1:5" ht="18" x14ac:dyDescent="0.35">
      <c r="A12" s="5" t="s">
        <v>27</v>
      </c>
      <c r="B12" s="6" t="s">
        <v>28</v>
      </c>
      <c r="C12" s="5" t="s">
        <v>7</v>
      </c>
      <c r="D12" s="5" t="s">
        <v>8</v>
      </c>
      <c r="E12" s="5">
        <f t="shared" si="0"/>
        <v>23</v>
      </c>
    </row>
    <row r="13" spans="1:5" ht="18" x14ac:dyDescent="0.35">
      <c r="A13" s="5" t="s">
        <v>29</v>
      </c>
      <c r="B13" s="6" t="s">
        <v>30</v>
      </c>
      <c r="C13" s="5" t="s">
        <v>7</v>
      </c>
      <c r="D13" s="5" t="s">
        <v>8</v>
      </c>
      <c r="E13" s="5">
        <f t="shared" si="0"/>
        <v>27</v>
      </c>
    </row>
    <row r="14" spans="1:5" ht="18" x14ac:dyDescent="0.35">
      <c r="A14" s="5" t="s">
        <v>31</v>
      </c>
      <c r="B14" s="6" t="s">
        <v>32</v>
      </c>
      <c r="C14" s="5" t="s">
        <v>7</v>
      </c>
      <c r="D14" s="5" t="s">
        <v>8</v>
      </c>
      <c r="E14" s="5">
        <f t="shared" si="0"/>
        <v>20</v>
      </c>
    </row>
    <row r="15" spans="1:5" ht="18" x14ac:dyDescent="0.35">
      <c r="A15" s="5" t="s">
        <v>33</v>
      </c>
      <c r="B15" s="6" t="s">
        <v>34</v>
      </c>
      <c r="C15" s="5" t="s">
        <v>7</v>
      </c>
      <c r="D15" s="5" t="s">
        <v>8</v>
      </c>
      <c r="E15" s="5">
        <f t="shared" si="0"/>
        <v>25</v>
      </c>
    </row>
    <row r="16" spans="1:5" ht="18" x14ac:dyDescent="0.35">
      <c r="A16" s="5" t="s">
        <v>35</v>
      </c>
      <c r="B16" s="6" t="s">
        <v>36</v>
      </c>
      <c r="C16" s="5" t="s">
        <v>7</v>
      </c>
      <c r="D16" s="5" t="s">
        <v>8</v>
      </c>
      <c r="E16" s="5">
        <f t="shared" si="0"/>
        <v>24</v>
      </c>
    </row>
    <row r="17" spans="1:5" ht="18" x14ac:dyDescent="0.35">
      <c r="A17" s="5" t="s">
        <v>37</v>
      </c>
      <c r="B17" s="6" t="s">
        <v>38</v>
      </c>
      <c r="C17" s="5" t="s">
        <v>7</v>
      </c>
      <c r="D17" s="5" t="s">
        <v>8</v>
      </c>
      <c r="E17" s="5">
        <f t="shared" si="0"/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CA9C9-77A2-4A03-873B-4258FF4E7E37}">
  <sheetPr>
    <tabColor rgb="FFFFC000"/>
  </sheetPr>
  <dimension ref="A1:E17"/>
  <sheetViews>
    <sheetView workbookViewId="0">
      <selection activeCell="H11" sqref="H11"/>
    </sheetView>
  </sheetViews>
  <sheetFormatPr defaultRowHeight="14.4" x14ac:dyDescent="0.3"/>
  <cols>
    <col min="1" max="1" width="18.109375" bestFit="1" customWidth="1"/>
    <col min="2" max="2" width="44.109375" bestFit="1" customWidth="1"/>
    <col min="3" max="3" width="13.21875" bestFit="1" customWidth="1"/>
    <col min="4" max="4" width="11" bestFit="1" customWidth="1"/>
    <col min="5" max="5" width="10.44140625" bestFit="1" customWidth="1"/>
  </cols>
  <sheetData>
    <row r="1" spans="1:5" ht="36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18" x14ac:dyDescent="0.35">
      <c r="A2" s="5" t="s">
        <v>39</v>
      </c>
      <c r="B2" s="6" t="s">
        <v>40</v>
      </c>
      <c r="C2" s="5" t="s">
        <v>7</v>
      </c>
      <c r="D2" s="5" t="s">
        <v>8</v>
      </c>
      <c r="E2" s="5">
        <v>26</v>
      </c>
    </row>
    <row r="3" spans="1:5" ht="18" x14ac:dyDescent="0.35">
      <c r="A3" s="5" t="s">
        <v>41</v>
      </c>
      <c r="B3" s="6" t="s">
        <v>42</v>
      </c>
      <c r="C3" s="5" t="s">
        <v>7</v>
      </c>
      <c r="D3" s="5" t="s">
        <v>8</v>
      </c>
      <c r="E3" s="5">
        <v>21</v>
      </c>
    </row>
    <row r="4" spans="1:5" ht="18" x14ac:dyDescent="0.35">
      <c r="A4" s="5" t="s">
        <v>43</v>
      </c>
      <c r="B4" s="6" t="s">
        <v>44</v>
      </c>
      <c r="C4" s="5" t="s">
        <v>7</v>
      </c>
      <c r="D4" s="5" t="s">
        <v>8</v>
      </c>
      <c r="E4" s="5">
        <v>25</v>
      </c>
    </row>
    <row r="5" spans="1:5" ht="18" x14ac:dyDescent="0.35">
      <c r="A5" s="5" t="s">
        <v>45</v>
      </c>
      <c r="B5" s="6" t="s">
        <v>46</v>
      </c>
      <c r="C5" s="5" t="s">
        <v>7</v>
      </c>
      <c r="D5" s="5" t="s">
        <v>8</v>
      </c>
      <c r="E5" s="5">
        <v>22</v>
      </c>
    </row>
    <row r="6" spans="1:5" ht="18" x14ac:dyDescent="0.35">
      <c r="A6" s="5" t="s">
        <v>47</v>
      </c>
      <c r="B6" s="6" t="s">
        <v>48</v>
      </c>
      <c r="C6" s="5" t="s">
        <v>7</v>
      </c>
      <c r="D6" s="5" t="s">
        <v>8</v>
      </c>
      <c r="E6" s="5">
        <v>24</v>
      </c>
    </row>
    <row r="7" spans="1:5" ht="18" x14ac:dyDescent="0.35">
      <c r="A7" s="5" t="s">
        <v>49</v>
      </c>
      <c r="B7" s="6" t="s">
        <v>50</v>
      </c>
      <c r="C7" s="5" t="s">
        <v>7</v>
      </c>
      <c r="D7" s="5" t="s">
        <v>8</v>
      </c>
      <c r="E7" s="5">
        <v>22</v>
      </c>
    </row>
    <row r="8" spans="1:5" ht="18" x14ac:dyDescent="0.35">
      <c r="A8" s="5" t="s">
        <v>51</v>
      </c>
      <c r="B8" s="6" t="s">
        <v>52</v>
      </c>
      <c r="C8" s="5" t="s">
        <v>7</v>
      </c>
      <c r="D8" s="5" t="s">
        <v>8</v>
      </c>
      <c r="E8" s="5">
        <v>22</v>
      </c>
    </row>
    <row r="9" spans="1:5" ht="18" x14ac:dyDescent="0.35">
      <c r="A9" s="5" t="s">
        <v>53</v>
      </c>
      <c r="B9" s="6" t="s">
        <v>54</v>
      </c>
      <c r="C9" s="5" t="s">
        <v>7</v>
      </c>
      <c r="D9" s="5" t="s">
        <v>8</v>
      </c>
      <c r="E9" s="5">
        <v>27</v>
      </c>
    </row>
    <row r="10" spans="1:5" ht="18" x14ac:dyDescent="0.35">
      <c r="A10" s="5" t="s">
        <v>55</v>
      </c>
      <c r="B10" s="6" t="s">
        <v>56</v>
      </c>
      <c r="C10" s="5" t="s">
        <v>7</v>
      </c>
      <c r="D10" s="5" t="s">
        <v>8</v>
      </c>
      <c r="E10" s="5">
        <v>24</v>
      </c>
    </row>
    <row r="11" spans="1:5" ht="18" x14ac:dyDescent="0.35">
      <c r="A11" s="5" t="s">
        <v>57</v>
      </c>
      <c r="B11" s="6" t="s">
        <v>58</v>
      </c>
      <c r="C11" s="5" t="s">
        <v>7</v>
      </c>
      <c r="D11" s="5" t="s">
        <v>8</v>
      </c>
      <c r="E11" s="5">
        <v>23</v>
      </c>
    </row>
    <row r="12" spans="1:5" ht="18" x14ac:dyDescent="0.35">
      <c r="A12" s="5" t="s">
        <v>59</v>
      </c>
      <c r="B12" s="6" t="s">
        <v>60</v>
      </c>
      <c r="C12" s="5" t="s">
        <v>7</v>
      </c>
      <c r="D12" s="5" t="s">
        <v>8</v>
      </c>
      <c r="E12" s="5">
        <v>21</v>
      </c>
    </row>
    <row r="13" spans="1:5" ht="18" x14ac:dyDescent="0.35">
      <c r="A13" s="5" t="s">
        <v>61</v>
      </c>
      <c r="B13" s="6" t="s">
        <v>62</v>
      </c>
      <c r="C13" s="5" t="s">
        <v>7</v>
      </c>
      <c r="D13" s="5" t="s">
        <v>8</v>
      </c>
      <c r="E13" s="5">
        <v>20</v>
      </c>
    </row>
    <row r="14" spans="1:5" ht="18" x14ac:dyDescent="0.35">
      <c r="A14" s="5" t="s">
        <v>63</v>
      </c>
      <c r="B14" s="6" t="s">
        <v>64</v>
      </c>
      <c r="C14" s="5" t="s">
        <v>7</v>
      </c>
      <c r="D14" s="5" t="s">
        <v>8</v>
      </c>
      <c r="E14" s="5">
        <v>22</v>
      </c>
    </row>
    <row r="15" spans="1:5" ht="18" x14ac:dyDescent="0.35">
      <c r="A15" s="5" t="s">
        <v>65</v>
      </c>
      <c r="B15" s="6" t="s">
        <v>66</v>
      </c>
      <c r="C15" s="5" t="s">
        <v>7</v>
      </c>
      <c r="D15" s="5" t="s">
        <v>8</v>
      </c>
      <c r="E15" s="5">
        <v>23</v>
      </c>
    </row>
    <row r="16" spans="1:5" ht="18" x14ac:dyDescent="0.35">
      <c r="A16" s="5" t="s">
        <v>67</v>
      </c>
      <c r="B16" s="6" t="s">
        <v>68</v>
      </c>
      <c r="C16" s="5" t="s">
        <v>7</v>
      </c>
      <c r="D16" s="5" t="s">
        <v>8</v>
      </c>
      <c r="E16" s="5">
        <v>20</v>
      </c>
    </row>
    <row r="17" spans="1:5" ht="18" x14ac:dyDescent="0.35">
      <c r="A17" s="5" t="s">
        <v>69</v>
      </c>
      <c r="B17" s="6" t="s">
        <v>70</v>
      </c>
      <c r="C17" s="5" t="s">
        <v>7</v>
      </c>
      <c r="D17" s="5" t="s">
        <v>8</v>
      </c>
      <c r="E17" s="5">
        <v>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D9089-109F-4BFD-944F-C4BBA3B4A3CD}">
  <sheetPr>
    <tabColor theme="9"/>
  </sheetPr>
  <dimension ref="A1:E21"/>
  <sheetViews>
    <sheetView tabSelected="1" workbookViewId="0">
      <selection activeCell="I11" sqref="I11"/>
    </sheetView>
  </sheetViews>
  <sheetFormatPr defaultRowHeight="14.4" x14ac:dyDescent="0.3"/>
  <cols>
    <col min="1" max="1" width="32.109375" bestFit="1" customWidth="1"/>
    <col min="2" max="2" width="44.109375" bestFit="1" customWidth="1"/>
    <col min="3" max="3" width="15.5546875" customWidth="1"/>
    <col min="12" max="12" width="25" bestFit="1" customWidth="1"/>
  </cols>
  <sheetData>
    <row r="1" spans="1:5" ht="36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18" x14ac:dyDescent="0.35">
      <c r="A2" s="3" t="s">
        <v>110</v>
      </c>
      <c r="B2" s="4" t="s">
        <v>130</v>
      </c>
      <c r="C2" s="3" t="s">
        <v>109</v>
      </c>
      <c r="D2" s="3" t="s">
        <v>8</v>
      </c>
      <c r="E2" s="3">
        <f>LEN(MVP[[#This Row],[DNA Sequence]])</f>
        <v>23</v>
      </c>
    </row>
    <row r="3" spans="1:5" ht="18" x14ac:dyDescent="0.35">
      <c r="A3" s="3" t="s">
        <v>111</v>
      </c>
      <c r="B3" s="4" t="s">
        <v>92</v>
      </c>
      <c r="C3" s="3" t="s">
        <v>109</v>
      </c>
      <c r="D3" s="3" t="s">
        <v>8</v>
      </c>
      <c r="E3" s="3">
        <f>LEN(MVP[[#This Row],[DNA Sequence]])</f>
        <v>22</v>
      </c>
    </row>
    <row r="4" spans="1:5" ht="18" x14ac:dyDescent="0.35">
      <c r="A4" s="3" t="s">
        <v>112</v>
      </c>
      <c r="B4" s="4" t="s">
        <v>93</v>
      </c>
      <c r="C4" s="3" t="s">
        <v>109</v>
      </c>
      <c r="D4" s="3" t="s">
        <v>8</v>
      </c>
      <c r="E4" s="3">
        <f>LEN(MVP[[#This Row],[DNA Sequence]])</f>
        <v>24</v>
      </c>
    </row>
    <row r="5" spans="1:5" ht="18" x14ac:dyDescent="0.35">
      <c r="A5" s="3" t="s">
        <v>113</v>
      </c>
      <c r="B5" s="4" t="s">
        <v>94</v>
      </c>
      <c r="C5" s="3" t="s">
        <v>109</v>
      </c>
      <c r="D5" s="3" t="s">
        <v>8</v>
      </c>
      <c r="E5" s="3">
        <f>LEN(MVP[[#This Row],[DNA Sequence]])</f>
        <v>21</v>
      </c>
    </row>
    <row r="6" spans="1:5" ht="18" x14ac:dyDescent="0.35">
      <c r="A6" s="3" t="s">
        <v>114</v>
      </c>
      <c r="B6" s="4" t="s">
        <v>95</v>
      </c>
      <c r="C6" s="3" t="s">
        <v>109</v>
      </c>
      <c r="D6" s="3" t="s">
        <v>8</v>
      </c>
      <c r="E6" s="3">
        <f>LEN(MVP[[#This Row],[DNA Sequence]])</f>
        <v>27</v>
      </c>
    </row>
    <row r="7" spans="1:5" ht="18" x14ac:dyDescent="0.35">
      <c r="A7" s="3" t="s">
        <v>115</v>
      </c>
      <c r="B7" s="4" t="s">
        <v>96</v>
      </c>
      <c r="C7" s="3" t="s">
        <v>109</v>
      </c>
      <c r="D7" s="3" t="s">
        <v>8</v>
      </c>
      <c r="E7" s="3">
        <f>LEN(MVP[[#This Row],[DNA Sequence]])</f>
        <v>23</v>
      </c>
    </row>
    <row r="8" spans="1:5" ht="18" x14ac:dyDescent="0.35">
      <c r="A8" s="3" t="s">
        <v>116</v>
      </c>
      <c r="B8" s="4" t="s">
        <v>97</v>
      </c>
      <c r="C8" s="3" t="s">
        <v>109</v>
      </c>
      <c r="D8" s="3" t="s">
        <v>8</v>
      </c>
      <c r="E8" s="3">
        <f>LEN(MVP[[#This Row],[DNA Sequence]])</f>
        <v>27</v>
      </c>
    </row>
    <row r="9" spans="1:5" ht="18" x14ac:dyDescent="0.35">
      <c r="A9" s="3" t="s">
        <v>117</v>
      </c>
      <c r="B9" s="4" t="s">
        <v>98</v>
      </c>
      <c r="C9" s="3" t="s">
        <v>109</v>
      </c>
      <c r="D9" s="3" t="s">
        <v>8</v>
      </c>
      <c r="E9" s="3">
        <f>LEN(MVP[[#This Row],[DNA Sequence]])</f>
        <v>23</v>
      </c>
    </row>
    <row r="10" spans="1:5" ht="18" x14ac:dyDescent="0.35">
      <c r="A10" s="3" t="s">
        <v>118</v>
      </c>
      <c r="B10" s="4" t="s">
        <v>99</v>
      </c>
      <c r="C10" s="3" t="s">
        <v>109</v>
      </c>
      <c r="D10" s="3" t="s">
        <v>8</v>
      </c>
      <c r="E10" s="3">
        <f>LEN(MVP[[#This Row],[DNA Sequence]])</f>
        <v>24</v>
      </c>
    </row>
    <row r="11" spans="1:5" ht="18" x14ac:dyDescent="0.35">
      <c r="A11" s="3" t="s">
        <v>119</v>
      </c>
      <c r="B11" s="4" t="s">
        <v>100</v>
      </c>
      <c r="C11" s="3" t="s">
        <v>109</v>
      </c>
      <c r="D11" s="3" t="s">
        <v>8</v>
      </c>
      <c r="E11" s="3">
        <f>LEN(MVP[[#This Row],[DNA Sequence]])</f>
        <v>26</v>
      </c>
    </row>
    <row r="12" spans="1:5" ht="18" x14ac:dyDescent="0.35">
      <c r="A12" s="3" t="s">
        <v>120</v>
      </c>
      <c r="B12" s="4" t="s">
        <v>16</v>
      </c>
      <c r="C12" s="3" t="s">
        <v>109</v>
      </c>
      <c r="D12" s="3" t="s">
        <v>8</v>
      </c>
      <c r="E12" s="3">
        <f>LEN(MVP[[#This Row],[DNA Sequence]])</f>
        <v>25</v>
      </c>
    </row>
    <row r="13" spans="1:5" ht="18" x14ac:dyDescent="0.35">
      <c r="A13" s="3" t="s">
        <v>121</v>
      </c>
      <c r="B13" s="4" t="s">
        <v>101</v>
      </c>
      <c r="C13" s="3" t="s">
        <v>109</v>
      </c>
      <c r="D13" s="3" t="s">
        <v>8</v>
      </c>
      <c r="E13" s="3">
        <f>LEN(MVP[[#This Row],[DNA Sequence]])</f>
        <v>20</v>
      </c>
    </row>
    <row r="14" spans="1:5" ht="18" x14ac:dyDescent="0.35">
      <c r="A14" s="3" t="s">
        <v>122</v>
      </c>
      <c r="B14" s="4" t="s">
        <v>102</v>
      </c>
      <c r="C14" s="3" t="s">
        <v>109</v>
      </c>
      <c r="D14" s="3" t="s">
        <v>8</v>
      </c>
      <c r="E14" s="3">
        <f>LEN(MVP[[#This Row],[DNA Sequence]])</f>
        <v>24</v>
      </c>
    </row>
    <row r="15" spans="1:5" ht="18" x14ac:dyDescent="0.35">
      <c r="A15" s="3" t="s">
        <v>123</v>
      </c>
      <c r="B15" s="4" t="s">
        <v>103</v>
      </c>
      <c r="C15" s="3" t="s">
        <v>109</v>
      </c>
      <c r="D15" s="3" t="s">
        <v>8</v>
      </c>
      <c r="E15" s="3">
        <f>LEN(MVP[[#This Row],[DNA Sequence]])</f>
        <v>21</v>
      </c>
    </row>
    <row r="16" spans="1:5" ht="18" x14ac:dyDescent="0.35">
      <c r="A16" s="3" t="s">
        <v>124</v>
      </c>
      <c r="B16" s="4" t="s">
        <v>104</v>
      </c>
      <c r="C16" s="3" t="s">
        <v>109</v>
      </c>
      <c r="D16" s="3" t="s">
        <v>8</v>
      </c>
      <c r="E16" s="3">
        <f>LEN(MVP[[#This Row],[DNA Sequence]])</f>
        <v>25</v>
      </c>
    </row>
    <row r="17" spans="1:5" ht="18" x14ac:dyDescent="0.35">
      <c r="A17" s="3" t="s">
        <v>125</v>
      </c>
      <c r="B17" s="4" t="s">
        <v>105</v>
      </c>
      <c r="C17" s="3" t="s">
        <v>109</v>
      </c>
      <c r="D17" s="3" t="s">
        <v>8</v>
      </c>
      <c r="E17" s="3">
        <f>LEN(MVP[[#This Row],[DNA Sequence]])</f>
        <v>23</v>
      </c>
    </row>
    <row r="18" spans="1:5" ht="18" x14ac:dyDescent="0.35">
      <c r="A18" s="3" t="s">
        <v>126</v>
      </c>
      <c r="B18" s="4" t="s">
        <v>106</v>
      </c>
      <c r="C18" s="3" t="s">
        <v>109</v>
      </c>
      <c r="D18" s="3" t="s">
        <v>8</v>
      </c>
      <c r="E18" s="3">
        <f>LEN(MVP[[#This Row],[DNA Sequence]])</f>
        <v>24</v>
      </c>
    </row>
    <row r="19" spans="1:5" ht="18" x14ac:dyDescent="0.35">
      <c r="A19" s="3" t="s">
        <v>127</v>
      </c>
      <c r="B19" s="4" t="s">
        <v>58</v>
      </c>
      <c r="C19" s="3" t="s">
        <v>109</v>
      </c>
      <c r="D19" s="3" t="s">
        <v>8</v>
      </c>
      <c r="E19" s="3">
        <f>LEN(MVP[[#This Row],[DNA Sequence]])</f>
        <v>23</v>
      </c>
    </row>
    <row r="20" spans="1:5" ht="18" x14ac:dyDescent="0.35">
      <c r="A20" s="3" t="s">
        <v>128</v>
      </c>
      <c r="B20" s="4" t="s">
        <v>107</v>
      </c>
      <c r="C20" s="3" t="s">
        <v>109</v>
      </c>
      <c r="D20" s="3" t="s">
        <v>8</v>
      </c>
      <c r="E20" s="3">
        <f>LEN(MVP[[#This Row],[DNA Sequence]])</f>
        <v>25</v>
      </c>
    </row>
    <row r="21" spans="1:5" ht="18" x14ac:dyDescent="0.35">
      <c r="A21" s="3" t="s">
        <v>129</v>
      </c>
      <c r="B21" s="4" t="s">
        <v>108</v>
      </c>
      <c r="C21" s="3" t="s">
        <v>109</v>
      </c>
      <c r="D21" s="3" t="s">
        <v>8</v>
      </c>
      <c r="E21" s="3">
        <f>LEN(MVP[[#This Row],[DNA Sequence]])</f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Pf SWGA</vt:lpstr>
      <vt:lpstr>NOMADS16</vt:lpstr>
      <vt:lpstr>NOMADS8</vt:lpstr>
      <vt:lpstr>MVP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 Bridges</cp:lastModifiedBy>
  <dcterms:created xsi:type="dcterms:W3CDTF">2015-06-05T18:17:20Z</dcterms:created>
  <dcterms:modified xsi:type="dcterms:W3CDTF">2025-12-16T12:56:06Z</dcterms:modified>
</cp:coreProperties>
</file>