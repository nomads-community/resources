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git\resources\info\"/>
    </mc:Choice>
  </mc:AlternateContent>
  <xr:revisionPtr revIDLastSave="0" documentId="13_ncr:1_{AEF0BA6D-EFC5-4E60-BD26-FC05EEA1541B}" xr6:coauthVersionLast="47" xr6:coauthVersionMax="47" xr10:uidLastSave="{00000000-0000-0000-0000-000000000000}"/>
  <bookViews>
    <workbookView xWindow="-108" yWindow="-108" windowWidth="46296" windowHeight="23160" xr2:uid="{00000000-000D-0000-FFFF-FFFF00000000}"/>
  </bookViews>
  <sheets>
    <sheet name="Consumables" sheetId="1" r:id="rId1"/>
    <sheet name="Consumables 2k samples" sheetId="2" state="hidden" r:id="rId2"/>
    <sheet name="Equipment" sheetId="3" r:id="rId3"/>
    <sheet name="NOMADS-MVP Primers" sheetId="4" r:id="rId4"/>
  </sheets>
  <definedNames>
    <definedName name="_xlnm._FilterDatabase" localSheetId="1" hidden="1">'Consumables 2k samples'!$A$4:$H$39</definedName>
    <definedName name="num_samples">Consumables!$E$1</definedName>
    <definedName name="Organisms">#REF!</definedName>
    <definedName name="Reference_types">#REF!</definedName>
    <definedName name="Sourc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oF0QJ8Cfyyh5WfCaFnSGvv1X9RVjk94IwJis1/cN3Ls="/>
    </ext>
  </extLst>
</workbook>
</file>

<file path=xl/calcChain.xml><?xml version="1.0" encoding="utf-8"?>
<calcChain xmlns="http://schemas.openxmlformats.org/spreadsheetml/2006/main">
  <c r="F24" i="3" l="1"/>
  <c r="H24" i="3" s="1"/>
  <c r="F23" i="3"/>
  <c r="H23" i="3" s="1"/>
  <c r="H22" i="3"/>
  <c r="F22" i="3"/>
  <c r="F21" i="3"/>
  <c r="H21" i="3" s="1"/>
  <c r="H20" i="3"/>
  <c r="F20" i="3"/>
  <c r="F19" i="3"/>
  <c r="H19" i="3" s="1"/>
  <c r="H18" i="3"/>
  <c r="F18" i="3"/>
  <c r="F17" i="3"/>
  <c r="H17" i="3" s="1"/>
  <c r="H16" i="3"/>
  <c r="F16" i="3"/>
  <c r="F15" i="3"/>
  <c r="H15" i="3" s="1"/>
  <c r="H14" i="3"/>
  <c r="F14" i="3"/>
  <c r="F13" i="3"/>
  <c r="H13" i="3" s="1"/>
  <c r="H12" i="3"/>
  <c r="F12" i="3"/>
  <c r="F11" i="3"/>
  <c r="H11" i="3" s="1"/>
  <c r="H10" i="3"/>
  <c r="F10" i="3"/>
  <c r="F9" i="3"/>
  <c r="H9" i="3" s="1"/>
  <c r="H8" i="3"/>
  <c r="F8" i="3"/>
  <c r="F7" i="3"/>
  <c r="H7" i="3" s="1"/>
  <c r="H6" i="3"/>
  <c r="F6" i="3"/>
  <c r="F5" i="3"/>
  <c r="H5" i="3" s="1"/>
  <c r="N34" i="2"/>
  <c r="G34" i="2"/>
  <c r="N33" i="2"/>
  <c r="G33" i="2"/>
  <c r="N32" i="2"/>
  <c r="G32" i="2"/>
  <c r="N31" i="2"/>
  <c r="G31" i="2"/>
  <c r="N30" i="2"/>
  <c r="G30" i="2"/>
  <c r="N29" i="2"/>
  <c r="G29" i="2"/>
  <c r="N28" i="2"/>
  <c r="G28" i="2"/>
  <c r="N27" i="2"/>
  <c r="G27" i="2"/>
  <c r="N26" i="2"/>
  <c r="G26" i="2"/>
  <c r="N25" i="2"/>
  <c r="G25" i="2"/>
  <c r="N24" i="2"/>
  <c r="G24" i="2"/>
  <c r="N23" i="2"/>
  <c r="G23" i="2"/>
  <c r="G35" i="2" s="1"/>
  <c r="G36" i="2" s="1"/>
  <c r="N19" i="2"/>
  <c r="G19" i="2"/>
  <c r="N18" i="2"/>
  <c r="G18" i="2"/>
  <c r="N17" i="2"/>
  <c r="G17" i="2"/>
  <c r="N16" i="2"/>
  <c r="G16" i="2"/>
  <c r="N15" i="2"/>
  <c r="G15" i="2"/>
  <c r="N14" i="2"/>
  <c r="G14" i="2"/>
  <c r="N13" i="2"/>
  <c r="G13" i="2"/>
  <c r="N12" i="2"/>
  <c r="G12" i="2"/>
  <c r="N11" i="2"/>
  <c r="G11" i="2"/>
  <c r="N10" i="2"/>
  <c r="G10" i="2"/>
  <c r="N9" i="2"/>
  <c r="G9" i="2"/>
  <c r="N8" i="2"/>
  <c r="G8" i="2"/>
  <c r="N7" i="2"/>
  <c r="G7" i="2"/>
  <c r="N6" i="2"/>
  <c r="G6" i="2"/>
  <c r="G20" i="2" s="1"/>
  <c r="G35" i="1"/>
  <c r="G34" i="1"/>
  <c r="G33" i="1"/>
  <c r="G32" i="1"/>
  <c r="G31" i="1"/>
  <c r="G30" i="1"/>
  <c r="G29" i="1"/>
  <c r="G28" i="1"/>
  <c r="G27" i="1"/>
  <c r="G26" i="1"/>
  <c r="G25" i="1"/>
  <c r="G24" i="1"/>
  <c r="G36" i="1" s="1"/>
  <c r="G37" i="1" s="1"/>
  <c r="G20" i="1"/>
  <c r="G19" i="1"/>
  <c r="G18" i="1"/>
  <c r="G17" i="1"/>
  <c r="G16" i="1"/>
  <c r="G15" i="1"/>
  <c r="G14" i="1"/>
  <c r="G13" i="1"/>
  <c r="G12" i="1"/>
  <c r="G11" i="1"/>
  <c r="G10" i="1"/>
  <c r="G9" i="1"/>
  <c r="G21" i="1" s="1"/>
  <c r="G8" i="1"/>
  <c r="G7" i="1"/>
  <c r="G22" i="1" l="1"/>
  <c r="G40" i="1"/>
  <c r="G41" i="1" s="1"/>
  <c r="G21" i="2"/>
  <c r="G39" i="2"/>
  <c r="G40" i="2" s="1"/>
</calcChain>
</file>

<file path=xl/sharedStrings.xml><?xml version="1.0" encoding="utf-8"?>
<sst xmlns="http://schemas.openxmlformats.org/spreadsheetml/2006/main" count="483" uniqueCount="215">
  <si>
    <r>
      <rPr>
        <sz val="14"/>
        <color theme="1"/>
        <rFont val="Aptos Narrow"/>
      </rPr>
      <t>This spreadsheet lists all consumables needed to perform NOMADS-MVP</t>
    </r>
    <r>
      <rPr>
        <b/>
        <sz val="14"/>
        <color theme="1"/>
        <rFont val="Aptos Narrow"/>
      </rPr>
      <t xml:space="preserve"> </t>
    </r>
    <r>
      <rPr>
        <sz val="14"/>
        <color theme="1"/>
        <rFont val="Aptos Narrow"/>
      </rPr>
      <t>for:</t>
    </r>
  </si>
  <si>
    <t>samples</t>
  </si>
  <si>
    <t>DNA Extraction is NOT included. Recommended is DNA extraction with Qiagen.</t>
  </si>
  <si>
    <t>Item</t>
  </si>
  <si>
    <t>Manufacturer</t>
  </si>
  <si>
    <t>Catalog #</t>
  </si>
  <si>
    <t>Pack Size</t>
  </si>
  <si>
    <t>Unit Cost ($)</t>
  </si>
  <si>
    <t>Units Needed</t>
  </si>
  <si>
    <t>Cost ($)</t>
  </si>
  <si>
    <t>Notes</t>
  </si>
  <si>
    <t>Reagents</t>
  </si>
  <si>
    <t>Qiagen QIAmp</t>
  </si>
  <si>
    <t>KAPA HIFI ReadyMix</t>
  </si>
  <si>
    <t>Roche</t>
  </si>
  <si>
    <t>KK2602</t>
  </si>
  <si>
    <t>6.25 ml</t>
  </si>
  <si>
    <t>PCR Primers: NOMADS-MVP</t>
  </si>
  <si>
    <t>IDT</t>
  </si>
  <si>
    <t>N/A</t>
  </si>
  <si>
    <t>3000 rxn</t>
  </si>
  <si>
    <t>AMPure XP beads</t>
  </si>
  <si>
    <t>Beckman Coulter</t>
  </si>
  <si>
    <t>A63881</t>
  </si>
  <si>
    <t>60 ml</t>
  </si>
  <si>
    <t>This is sufficient for &gt;4500 samples; but we choose the larger volume as it is cheaper per unit volume.</t>
  </si>
  <si>
    <t>Qubit 1x dsDNA HS Assay Kit</t>
  </si>
  <si>
    <t>ThermoFisher</t>
  </si>
  <si>
    <t>Q33231</t>
  </si>
  <si>
    <t>500 rxn</t>
  </si>
  <si>
    <t xml:space="preserve">Agarose </t>
  </si>
  <si>
    <t>500 gram</t>
  </si>
  <si>
    <t>DNA ladder (1kb)</t>
  </si>
  <si>
    <t>SM0314</t>
  </si>
  <si>
    <t>100 lanes</t>
  </si>
  <si>
    <t>Gel loading dye</t>
  </si>
  <si>
    <t>NEB</t>
  </si>
  <si>
    <t>B7024S</t>
  </si>
  <si>
    <t>4 ml</t>
  </si>
  <si>
    <t>Rapid Barcoding Sequencing Kit 96 v14</t>
  </si>
  <si>
    <t>ONT</t>
  </si>
  <si>
    <t>SQK-RBK114.96</t>
  </si>
  <si>
    <t>12 rxn</t>
  </si>
  <si>
    <t>Flow Cell Priming Kit V14 (EXP-FLP004)</t>
  </si>
  <si>
    <t>EXP-FLP004</t>
  </si>
  <si>
    <t>6 rxns</t>
  </si>
  <si>
    <t>Flow Cell Wash Kit</t>
  </si>
  <si>
    <t>EXP-WSH004</t>
  </si>
  <si>
    <t>6 washes</t>
  </si>
  <si>
    <t>MinION Flow Cell (R10.4.1)</t>
  </si>
  <si>
    <t>FLO-MIN114</t>
  </si>
  <si>
    <t>flow cell</t>
  </si>
  <si>
    <t>Ethanol</t>
  </si>
  <si>
    <t>Sigma</t>
  </si>
  <si>
    <t>E7024-500ML</t>
  </si>
  <si>
    <t>500 ml</t>
  </si>
  <si>
    <t>Nuclease free water</t>
  </si>
  <si>
    <t>Invitrogen</t>
  </si>
  <si>
    <t>AM9937</t>
  </si>
  <si>
    <t>TE buffer (1X) pH 8.0 low EDTA</t>
  </si>
  <si>
    <t>J75793.AP</t>
  </si>
  <si>
    <t>Sub-Total:</t>
  </si>
  <si>
    <t>Per sample cost (reagents):</t>
  </si>
  <si>
    <t>Plasticware</t>
  </si>
  <si>
    <t>1.5 ml DNA LoBind tubes</t>
  </si>
  <si>
    <t>Eppendorf</t>
  </si>
  <si>
    <t>0030 108.051</t>
  </si>
  <si>
    <t>250 tubes</t>
  </si>
  <si>
    <t>100ml reservoir</t>
  </si>
  <si>
    <t>100 case</t>
  </si>
  <si>
    <t>Adhesive seal sheets</t>
  </si>
  <si>
    <t>Greiner</t>
  </si>
  <si>
    <t>100 seals</t>
  </si>
  <si>
    <t>Gloves</t>
  </si>
  <si>
    <t>Handsafe</t>
  </si>
  <si>
    <t>GN90-L</t>
  </si>
  <si>
    <t>2000 gloves</t>
  </si>
  <si>
    <t>PCR tubes strips with cap (8 well strip)</t>
  </si>
  <si>
    <t>AB2005</t>
  </si>
  <si>
    <t>2000 wells</t>
  </si>
  <si>
    <t>Plates 96 well (skirted)</t>
  </si>
  <si>
    <t>AB-0800</t>
  </si>
  <si>
    <t>25 plates</t>
  </si>
  <si>
    <t>Qubit Assay Tubes</t>
  </si>
  <si>
    <t>Q32856</t>
  </si>
  <si>
    <t>500 tubes</t>
  </si>
  <si>
    <t>Sharpie markers</t>
  </si>
  <si>
    <t>Stabilo</t>
  </si>
  <si>
    <t>01-19-2763</t>
  </si>
  <si>
    <t>10 per pack</t>
  </si>
  <si>
    <t>Tips 10ul</t>
  </si>
  <si>
    <t>-</t>
  </si>
  <si>
    <t>50 x 96 tip rack</t>
  </si>
  <si>
    <t>Please order appropriate tips for the single-channel and multichannel pipettes in your lab</t>
  </si>
  <si>
    <t>Tips 20ul</t>
  </si>
  <si>
    <t>10 x 96 tip rack</t>
  </si>
  <si>
    <t>Tips 200ul</t>
  </si>
  <si>
    <t>Tips 1000ul</t>
  </si>
  <si>
    <t>Assumptions:</t>
  </si>
  <si>
    <t xml:space="preserve"> - Costs are from Carramore quotes from 2024-2025</t>
  </si>
  <si>
    <t>Per sample cost (plasticware):</t>
  </si>
  <si>
    <t>- 48 samples per run, 2 runs per flow cell, 10% reagent overage</t>
  </si>
  <si>
    <t>- Shipping and import duties are NOT included in the above</t>
  </si>
  <si>
    <t>Total</t>
  </si>
  <si>
    <t>Per sample cost</t>
  </si>
  <si>
    <r>
      <rPr>
        <sz val="14"/>
        <color theme="1"/>
        <rFont val="Aptos Narrow"/>
      </rPr>
      <t>This spreadsheet lists all consumables needed to perform NOMADS-MVP</t>
    </r>
    <r>
      <rPr>
        <b/>
        <sz val="14"/>
        <color theme="1"/>
        <rFont val="Aptos Narrow"/>
      </rPr>
      <t xml:space="preserve"> for 2,000 </t>
    </r>
    <r>
      <rPr>
        <sz val="14"/>
        <color theme="1"/>
        <rFont val="Aptos Narrow"/>
      </rPr>
      <t>samples.</t>
    </r>
  </si>
  <si>
    <t>2000 (original</t>
  </si>
  <si>
    <t>2000 (now)</t>
  </si>
  <si>
    <t>Difference</t>
  </si>
  <si>
    <t>PCR Primers: MVP</t>
  </si>
  <si>
    <t>Flow cell wash kit</t>
  </si>
  <si>
    <t>Gloves Nitrile Large (powder-free)</t>
  </si>
  <si>
    <t>Gloves Nitrile Medium (powder-free)</t>
  </si>
  <si>
    <t>Gloves Nitrile Small (powder-free)</t>
  </si>
  <si>
    <r>
      <rPr>
        <sz val="11"/>
        <color theme="1"/>
        <rFont val="Aptos Narrow"/>
      </rPr>
      <t xml:space="preserve">Please order appropriate plates for the PCR machine(s) </t>
    </r>
    <r>
      <rPr>
        <b/>
        <sz val="11"/>
        <color theme="1"/>
        <rFont val="Aptos Narrow"/>
      </rPr>
      <t>AND</t>
    </r>
    <r>
      <rPr>
        <sz val="11"/>
        <color theme="1"/>
        <rFont val="Aptos Narrow"/>
      </rPr>
      <t xml:space="preserve"> magnetic rack in your lab (see Equipment tab).</t>
    </r>
  </si>
  <si>
    <t>Tips 10ul filtered</t>
  </si>
  <si>
    <t>Tips 200ul filtered</t>
  </si>
  <si>
    <t>Tips 20ul Racked (Filter)</t>
  </si>
  <si>
    <t>Tips Filter 1000ul racked</t>
  </si>
  <si>
    <t>This spreadsheet lists equipment needed to perform NOMADS sequencing</t>
  </si>
  <si>
    <t>Lab space / room</t>
  </si>
  <si>
    <t>Application</t>
  </si>
  <si>
    <r>
      <rPr>
        <b/>
        <sz val="12"/>
        <color theme="0"/>
        <rFont val="Calibri"/>
      </rPr>
      <t>Clean</t>
    </r>
    <r>
      <rPr>
        <b/>
        <vertAlign val="superscript"/>
        <sz val="12"/>
        <color theme="0"/>
        <rFont val="Calibri"/>
      </rPr>
      <t>1</t>
    </r>
  </si>
  <si>
    <r>
      <rPr>
        <b/>
        <sz val="12"/>
        <color theme="0"/>
        <rFont val="Calibri"/>
      </rPr>
      <t>Sample</t>
    </r>
    <r>
      <rPr>
        <b/>
        <vertAlign val="superscript"/>
        <sz val="12"/>
        <color theme="0"/>
        <rFont val="Calibri"/>
      </rPr>
      <t>2</t>
    </r>
  </si>
  <si>
    <r>
      <rPr>
        <b/>
        <sz val="12"/>
        <color theme="0"/>
        <rFont val="Calibri"/>
      </rPr>
      <t>Sequence</t>
    </r>
    <r>
      <rPr>
        <b/>
        <vertAlign val="superscript"/>
        <sz val="12"/>
        <color theme="0"/>
        <rFont val="Calibri"/>
      </rPr>
      <t>3</t>
    </r>
  </si>
  <si>
    <t># required</t>
  </si>
  <si>
    <t># present</t>
  </si>
  <si>
    <t># to procure</t>
  </si>
  <si>
    <t>Quantify DNA Concentration</t>
  </si>
  <si>
    <t>Qubit 4 Fluorometer</t>
  </si>
  <si>
    <t>X</t>
  </si>
  <si>
    <t>Sequence Nucleic Acids</t>
  </si>
  <si>
    <t>MinIon</t>
  </si>
  <si>
    <t>Store and process sequencing runs</t>
  </si>
  <si>
    <t>Laptop with Nvidia GPU</t>
  </si>
  <si>
    <t>Storage of experimental data</t>
  </si>
  <si>
    <t>5 Tb (or &gt;) Storage Drive</t>
  </si>
  <si>
    <t>Retention of magnetic beads during DNA cleaning</t>
  </si>
  <si>
    <t>Magnet for 96-well plates</t>
  </si>
  <si>
    <t>Magnet for tubes</t>
  </si>
  <si>
    <r>
      <rPr>
        <sz val="12"/>
        <color theme="1"/>
        <rFont val="Calibri"/>
      </rPr>
      <t>Store reagents at -20</t>
    </r>
    <r>
      <rPr>
        <vertAlign val="superscript"/>
        <sz val="12"/>
        <color theme="1"/>
        <rFont val="Calibri"/>
      </rPr>
      <t>o</t>
    </r>
    <r>
      <rPr>
        <sz val="12"/>
        <color theme="1"/>
        <rFont val="Calibri"/>
      </rPr>
      <t>C</t>
    </r>
  </si>
  <si>
    <t>Freezer</t>
  </si>
  <si>
    <r>
      <rPr>
        <sz val="12"/>
        <color theme="1"/>
        <rFont val="Calibri"/>
      </rPr>
      <t>Store reagents at -4</t>
    </r>
    <r>
      <rPr>
        <vertAlign val="superscript"/>
        <sz val="12"/>
        <color theme="1"/>
        <rFont val="Calibri"/>
      </rPr>
      <t>o</t>
    </r>
    <r>
      <rPr>
        <sz val="12"/>
        <color theme="1"/>
        <rFont val="Calibri"/>
      </rPr>
      <t>C</t>
    </r>
  </si>
  <si>
    <t>Fridge</t>
  </si>
  <si>
    <t>Extract DNA through centrifugation</t>
  </si>
  <si>
    <t>Microcentrifuge - 1.5ml tubes</t>
  </si>
  <si>
    <t>Microcentrifuge - plate and strips</t>
  </si>
  <si>
    <t>Mix solutions/reactions</t>
  </si>
  <si>
    <t>Vortex</t>
  </si>
  <si>
    <t>PCR amplification</t>
  </si>
  <si>
    <t>Thermal Cycler</t>
  </si>
  <si>
    <t>Contained area to minimise contamination</t>
  </si>
  <si>
    <t>Hood</t>
  </si>
  <si>
    <t>Size separation of DNA by gel electrophoresis</t>
  </si>
  <si>
    <t>Electrophoresis Tank</t>
  </si>
  <si>
    <t>Provides voltage for running a gel</t>
  </si>
  <si>
    <t>Power pack</t>
  </si>
  <si>
    <t>QC documentation of amplification steps</t>
  </si>
  <si>
    <t>Gel Imaging</t>
  </si>
  <si>
    <t>Transfer of liquids</t>
  </si>
  <si>
    <t>P20 Multichannel Pipette</t>
  </si>
  <si>
    <t>P200 Multichannel Pipette</t>
  </si>
  <si>
    <t>Maintains temperature on the bench</t>
  </si>
  <si>
    <t>Cold Block (tubes)</t>
  </si>
  <si>
    <t>Cold Block (plates)</t>
  </si>
  <si>
    <r>
      <rPr>
        <sz val="8"/>
        <color theme="1"/>
        <rFont val="Calibri"/>
      </rPr>
      <t>1</t>
    </r>
    <r>
      <rPr>
        <sz val="8"/>
        <color theme="1"/>
        <rFont val="Calibri"/>
      </rPr>
      <t xml:space="preserve"> Preparation of all master mixes free from any DNA / RNA contaminants</t>
    </r>
  </si>
  <si>
    <r>
      <rPr>
        <sz val="8"/>
        <color theme="1"/>
        <rFont val="Calibri"/>
      </rPr>
      <t>2</t>
    </r>
    <r>
      <rPr>
        <sz val="8"/>
        <color theme="1"/>
        <rFont val="Calibri"/>
      </rPr>
      <t xml:space="preserve"> Extraction of DNA from samples and preparation for PCR amplification</t>
    </r>
  </si>
  <si>
    <r>
      <rPr>
        <sz val="8"/>
        <color theme="1"/>
        <rFont val="Calibri"/>
      </rPr>
      <t xml:space="preserve">3 </t>
    </r>
    <r>
      <rPr>
        <sz val="8"/>
        <color theme="1"/>
        <rFont val="Calibri"/>
      </rPr>
      <t>PCR amplification and library preparation for sequencing</t>
    </r>
  </si>
  <si>
    <r>
      <rPr>
        <vertAlign val="superscript"/>
        <sz val="8"/>
        <color theme="1"/>
        <rFont val="Calibri"/>
      </rPr>
      <t>4</t>
    </r>
    <r>
      <rPr>
        <sz val="8"/>
        <color theme="1"/>
        <rFont val="Calibri"/>
      </rPr>
      <t xml:space="preserve"> Recommend Nvidia GPU with 16Gb GPU RAM and then minimum of i7 or equivalent processor, 32 Gb general RAM and 1Tb solid state drive</t>
    </r>
  </si>
  <si>
    <t>Name</t>
  </si>
  <si>
    <t>Sequence</t>
  </si>
  <si>
    <t>Quantity to order (nmole)</t>
  </si>
  <si>
    <t>Formulation</t>
  </si>
  <si>
    <t>ama1-d2-18-ck_v43_F</t>
  </si>
  <si>
    <t>CAACACGCATATCCAATAGACCA</t>
  </si>
  <si>
    <t>25nm</t>
  </si>
  <si>
    <t>STD</t>
  </si>
  <si>
    <t>ama1-d2-18-ck_v43_R</t>
  </si>
  <si>
    <t>TGATCCGAAGCACTCAATTCAA</t>
  </si>
  <si>
    <t>crt-k76_v27_F</t>
  </si>
  <si>
    <t>AGCAAAAATGACGAGCGTTATAGA</t>
  </si>
  <si>
    <t>crt-k76_v27_R</t>
  </si>
  <si>
    <t>AGCTTCGGTGTCGTTCCTAAA</t>
  </si>
  <si>
    <t>csp-rtss-repeat_v4_F</t>
  </si>
  <si>
    <t>TCGCAAACGTAATTAAATATTCACAAA</t>
  </si>
  <si>
    <t>csp-rtss-repeat_v4_R</t>
  </si>
  <si>
    <t>CCTTATTCCAGGAATACCAGTGC</t>
  </si>
  <si>
    <t>dhfr-p51-p164_v19_F</t>
  </si>
  <si>
    <t>CCATTTTTGTATTCCCAAATAGCTAGT</t>
  </si>
  <si>
    <t>dhfr-p51-p164_v19_R</t>
  </si>
  <si>
    <t>TCCCTAGTACCATTAGCTTCCCA</t>
  </si>
  <si>
    <t>dhps-p436-p613_v55_F</t>
  </si>
  <si>
    <t>TCCATTCCTCATGTGTATACAACA</t>
  </si>
  <si>
    <t>dhps-p436-p613_v55_R</t>
  </si>
  <si>
    <t>TGTTTAATCACATGTTTGCACTTTCC</t>
  </si>
  <si>
    <t>hrp2-exon2-complete_v26_F</t>
  </si>
  <si>
    <t>TCGCTATCCCATAAATTACAAAACA</t>
  </si>
  <si>
    <t>hrp2-exon2-complete_v26_R</t>
  </si>
  <si>
    <t>CCGTTTTTGCCTCCGTACTT</t>
  </si>
  <si>
    <t>hrp3-exon2-complete_v21_F</t>
  </si>
  <si>
    <t>AGACAGTAGAAAAATCGCTATCCT</t>
  </si>
  <si>
    <t>hrp3-exon2-complete_v21_R</t>
  </si>
  <si>
    <t>GCCGTTTTTGCTTCCGTACTT</t>
  </si>
  <si>
    <t>kelch13-cterm_v5_F</t>
  </si>
  <si>
    <t>AAGGGAAAATCATAAACAATCAAGT</t>
  </si>
  <si>
    <t>kelch13-cterm_v5_R</t>
  </si>
  <si>
    <t>GGAAGACATCATGTAACCAGAGA</t>
  </si>
  <si>
    <t>mdr1-p1034-p1246_v19_F</t>
  </si>
  <si>
    <t>GCGGAGTTTTTGCATTTAGTTCAG</t>
  </si>
  <si>
    <t>mdr1-p1034-p1246_v19_R</t>
  </si>
  <si>
    <t>CCAATGTTGCATCTTCTCTTCCA</t>
  </si>
  <si>
    <t>mdr1-p86-p184_v26_F</t>
  </si>
  <si>
    <t>CGTTTAAATGTTTACCTGCACAACA</t>
  </si>
  <si>
    <t>mdr1-p86-p184_v26_R</t>
  </si>
  <si>
    <t>ACTTGCAACAGTTCTTATTCCCA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</si>
</sst>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$#,##0.00"/>
    <numFmt numFmtId="165" formatCode="_-[$$-409]* #,##0.00_ ;_-[$$-409]* \-#,##0.00\ ;_-[$$-409]* &quot;-&quot;??_ ;_-@_ "/>
  </numFmts>
  <fonts count="24">
    <font>
      <sz val="11"/>
      <color theme="1"/>
      <name val="Aptos Narrow"/>
      <scheme val="minor"/>
    </font>
    <font>
      <sz val="14"/>
      <color theme="1"/>
      <name val="Aptos Narrow"/>
    </font>
    <font>
      <b/>
      <sz val="14"/>
      <color theme="1"/>
      <name val="Aptos Narrow"/>
    </font>
    <font>
      <sz val="11"/>
      <color theme="1"/>
      <name val="Arial"/>
    </font>
    <font>
      <b/>
      <sz val="12"/>
      <color theme="1"/>
      <name val="Arial"/>
    </font>
    <font>
      <b/>
      <u/>
      <sz val="9"/>
      <color theme="1"/>
      <name val="Arial"/>
    </font>
    <font>
      <b/>
      <sz val="9"/>
      <color theme="1"/>
      <name val="Arial"/>
    </font>
    <font>
      <sz val="11"/>
      <color theme="1"/>
      <name val="Arial"/>
    </font>
    <font>
      <sz val="11"/>
      <color theme="1"/>
      <name val="Aptos Narrow"/>
    </font>
    <font>
      <b/>
      <sz val="11"/>
      <color theme="1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2"/>
      <color theme="1"/>
      <name val="Calibri"/>
    </font>
    <font>
      <sz val="12"/>
      <color theme="1"/>
      <name val="Aptos Narrow"/>
    </font>
    <font>
      <b/>
      <u/>
      <sz val="12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2"/>
      <color rgb="FFFFFFFF"/>
      <name val="Calibri"/>
    </font>
    <font>
      <vertAlign val="superscript"/>
      <sz val="8"/>
      <color theme="1"/>
      <name val="Calibri"/>
    </font>
    <font>
      <sz val="8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vertAlign val="superscript"/>
      <sz val="12"/>
      <color theme="0"/>
      <name val="Calibri"/>
    </font>
    <font>
      <vertAlign val="superscript"/>
      <sz val="12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D8D8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center" wrapText="1"/>
    </xf>
    <xf numFmtId="0" fontId="7" fillId="3" borderId="0" xfId="0" applyFont="1" applyFill="1"/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165" fontId="8" fillId="3" borderId="0" xfId="0" applyNumberFormat="1" applyFont="1" applyFill="1"/>
    <xf numFmtId="0" fontId="8" fillId="3" borderId="0" xfId="0" applyFont="1" applyFill="1"/>
    <xf numFmtId="0" fontId="8" fillId="3" borderId="3" xfId="0" applyFont="1" applyFill="1" applyBorder="1"/>
    <xf numFmtId="0" fontId="8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left"/>
    </xf>
    <xf numFmtId="165" fontId="8" fillId="3" borderId="3" xfId="0" applyNumberFormat="1" applyFont="1" applyFill="1" applyBorder="1"/>
    <xf numFmtId="0" fontId="7" fillId="3" borderId="3" xfId="0" applyFont="1" applyFill="1" applyBorder="1"/>
    <xf numFmtId="165" fontId="8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165" fontId="9" fillId="0" borderId="0" xfId="0" applyNumberFormat="1" applyFont="1"/>
    <xf numFmtId="0" fontId="8" fillId="0" borderId="0" xfId="0" applyFont="1"/>
    <xf numFmtId="0" fontId="8" fillId="4" borderId="3" xfId="0" applyFont="1" applyFill="1" applyBorder="1" applyAlignment="1">
      <alignment vertical="center" wrapText="1"/>
    </xf>
    <xf numFmtId="0" fontId="10" fillId="0" borderId="0" xfId="0" applyFont="1"/>
    <xf numFmtId="0" fontId="8" fillId="0" borderId="0" xfId="0" applyFont="1" applyAlignment="1">
      <alignment vertical="center" wrapText="1"/>
    </xf>
    <xf numFmtId="165" fontId="8" fillId="0" borderId="0" xfId="0" applyNumberFormat="1" applyFont="1" applyAlignment="1">
      <alignment vertical="center" wrapText="1"/>
    </xf>
    <xf numFmtId="0" fontId="8" fillId="0" borderId="0" xfId="0" quotePrefix="1" applyFont="1"/>
    <xf numFmtId="164" fontId="4" fillId="2" borderId="3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right" vertical="center" wrapText="1"/>
    </xf>
    <xf numFmtId="0" fontId="11" fillId="0" borderId="0" xfId="0" applyFont="1"/>
    <xf numFmtId="0" fontId="8" fillId="5" borderId="3" xfId="0" applyFont="1" applyFill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5" fillId="6" borderId="4" xfId="0" applyFont="1" applyFill="1" applyBorder="1" applyAlignment="1">
      <alignment horizontal="center"/>
    </xf>
    <xf numFmtId="0" fontId="16" fillId="0" borderId="5" xfId="0" applyFont="1" applyBorder="1"/>
    <xf numFmtId="0" fontId="16" fillId="0" borderId="6" xfId="0" applyFont="1" applyBorder="1"/>
    <xf numFmtId="0" fontId="8" fillId="7" borderId="3" xfId="0" applyFont="1" applyFill="1" applyBorder="1"/>
  </cellXfs>
  <cellStyles count="1">
    <cellStyle name="Normal" xfId="0" builtinId="0"/>
  </cellStyles>
  <dxfs count="5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Equipmen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I24">
  <tableColumns count="9">
    <tableColumn id="1" xr3:uid="{00000000-0010-0000-0000-000001000000}" name="Application"/>
    <tableColumn id="2" xr3:uid="{00000000-0010-0000-0000-000002000000}" name="Item"/>
    <tableColumn id="3" xr3:uid="{00000000-0010-0000-0000-000003000000}" name="Clean1"/>
    <tableColumn id="4" xr3:uid="{00000000-0010-0000-0000-000004000000}" name="Sample2"/>
    <tableColumn id="5" xr3:uid="{00000000-0010-0000-0000-000005000000}" name="Sequence3"/>
    <tableColumn id="6" xr3:uid="{00000000-0010-0000-0000-000006000000}" name="# required"/>
    <tableColumn id="7" xr3:uid="{00000000-0010-0000-0000-000007000000}" name="# present"/>
    <tableColumn id="8" xr3:uid="{00000000-0010-0000-0000-000008000000}" name="# to procure"/>
    <tableColumn id="9" xr3:uid="{00000000-0010-0000-0000-000009000000}" name="Notes"/>
  </tableColumns>
  <tableStyleInfo name="Equipmen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1001"/>
  <sheetViews>
    <sheetView tabSelected="1" workbookViewId="0">
      <selection activeCell="H9" sqref="H9"/>
    </sheetView>
  </sheetViews>
  <sheetFormatPr defaultColWidth="12.6640625" defaultRowHeight="15" customHeight="1"/>
  <cols>
    <col min="1" max="1" width="36" customWidth="1"/>
    <col min="2" max="2" width="19.44140625" customWidth="1"/>
    <col min="3" max="3" width="20.44140625" customWidth="1"/>
    <col min="4" max="4" width="18.21875" customWidth="1"/>
    <col min="5" max="5" width="17.21875" customWidth="1"/>
    <col min="6" max="6" width="15.33203125" customWidth="1"/>
    <col min="7" max="7" width="27.21875" customWidth="1"/>
    <col min="8" max="8" width="82.44140625" customWidth="1"/>
    <col min="9" max="10" width="8.44140625" customWidth="1"/>
    <col min="11" max="26" width="12.44140625" customWidth="1"/>
  </cols>
  <sheetData>
    <row r="1" spans="1:10" ht="14.25" customHeight="1">
      <c r="A1" s="1" t="s">
        <v>0</v>
      </c>
      <c r="E1" s="2">
        <v>1000</v>
      </c>
      <c r="F1" s="2" t="s">
        <v>1</v>
      </c>
      <c r="H1" s="3"/>
    </row>
    <row r="2" spans="1:10" ht="14.25" customHeight="1">
      <c r="A2" s="1" t="s">
        <v>2</v>
      </c>
    </row>
    <row r="3" spans="1:10" ht="14.25" customHeight="1"/>
    <row r="4" spans="1:10" ht="14.25" customHeight="1">
      <c r="A4" s="4" t="s">
        <v>3</v>
      </c>
      <c r="B4" s="5" t="s">
        <v>4</v>
      </c>
      <c r="C4" s="4" t="s">
        <v>5</v>
      </c>
      <c r="D4" s="4" t="s">
        <v>6</v>
      </c>
      <c r="E4" s="5" t="s">
        <v>7</v>
      </c>
      <c r="F4" s="6" t="s">
        <v>8</v>
      </c>
      <c r="G4" s="6" t="s">
        <v>9</v>
      </c>
      <c r="H4" s="7" t="s">
        <v>10</v>
      </c>
    </row>
    <row r="5" spans="1:10" ht="14.25" customHeight="1">
      <c r="A5" s="8" t="s">
        <v>11</v>
      </c>
      <c r="B5" s="9"/>
      <c r="C5" s="10"/>
      <c r="D5" s="10"/>
      <c r="E5" s="9"/>
      <c r="F5" s="11"/>
      <c r="G5" s="11"/>
      <c r="H5" s="11"/>
    </row>
    <row r="6" spans="1:10" ht="14.25" customHeight="1">
      <c r="A6" s="12" t="s">
        <v>12</v>
      </c>
      <c r="B6" s="13"/>
      <c r="C6" s="13"/>
      <c r="D6" s="14"/>
      <c r="E6" s="15"/>
      <c r="F6" s="16"/>
      <c r="G6" s="15"/>
      <c r="H6" s="12"/>
    </row>
    <row r="7" spans="1:10" ht="14.25" customHeight="1">
      <c r="A7" s="17" t="s">
        <v>13</v>
      </c>
      <c r="B7" s="18" t="s">
        <v>14</v>
      </c>
      <c r="C7" s="18" t="s">
        <v>15</v>
      </c>
      <c r="D7" s="19" t="s">
        <v>16</v>
      </c>
      <c r="E7" s="20">
        <v>276.2</v>
      </c>
      <c r="F7" s="17">
        <v>4</v>
      </c>
      <c r="G7" s="20">
        <f t="shared" ref="G7:G20" si="0">SUM(F7*E7)</f>
        <v>1104.8</v>
      </c>
      <c r="H7" s="21"/>
    </row>
    <row r="8" spans="1:10" ht="15.75" customHeight="1">
      <c r="A8" s="17" t="s">
        <v>17</v>
      </c>
      <c r="B8" s="18" t="s">
        <v>18</v>
      </c>
      <c r="C8" s="18" t="s">
        <v>19</v>
      </c>
      <c r="D8" s="19" t="s">
        <v>20</v>
      </c>
      <c r="E8" s="20">
        <v>120</v>
      </c>
      <c r="F8" s="17">
        <v>1</v>
      </c>
      <c r="G8" s="20">
        <f t="shared" si="0"/>
        <v>120</v>
      </c>
      <c r="H8" s="17"/>
    </row>
    <row r="9" spans="1:10" ht="14.25" customHeight="1">
      <c r="A9" s="17" t="s">
        <v>21</v>
      </c>
      <c r="B9" s="18" t="s">
        <v>22</v>
      </c>
      <c r="C9" s="18" t="s">
        <v>23</v>
      </c>
      <c r="D9" s="19" t="s">
        <v>24</v>
      </c>
      <c r="E9" s="20">
        <v>1485.2</v>
      </c>
      <c r="F9" s="17">
        <v>1</v>
      </c>
      <c r="G9" s="20">
        <f t="shared" si="0"/>
        <v>1485.2</v>
      </c>
      <c r="H9" s="55" t="s">
        <v>25</v>
      </c>
    </row>
    <row r="10" spans="1:10" ht="14.25" customHeight="1">
      <c r="A10" s="17" t="s">
        <v>26</v>
      </c>
      <c r="B10" s="18" t="s">
        <v>27</v>
      </c>
      <c r="C10" s="18" t="s">
        <v>28</v>
      </c>
      <c r="D10" s="19" t="s">
        <v>29</v>
      </c>
      <c r="E10" s="20">
        <v>385.94</v>
      </c>
      <c r="F10" s="17">
        <v>3</v>
      </c>
      <c r="G10" s="20">
        <f t="shared" si="0"/>
        <v>1157.82</v>
      </c>
      <c r="H10" s="17"/>
    </row>
    <row r="11" spans="1:10" ht="15.75" customHeight="1">
      <c r="A11" s="17" t="s">
        <v>30</v>
      </c>
      <c r="B11" s="18" t="s">
        <v>27</v>
      </c>
      <c r="C11" s="18">
        <v>16500500</v>
      </c>
      <c r="D11" s="19" t="s">
        <v>31</v>
      </c>
      <c r="E11" s="20">
        <v>675</v>
      </c>
      <c r="F11" s="17">
        <v>1</v>
      </c>
      <c r="G11" s="20">
        <f t="shared" si="0"/>
        <v>675</v>
      </c>
      <c r="H11" s="17"/>
    </row>
    <row r="12" spans="1:10" ht="14.25" customHeight="1">
      <c r="A12" s="17" t="s">
        <v>32</v>
      </c>
      <c r="B12" s="18" t="s">
        <v>27</v>
      </c>
      <c r="C12" s="18" t="s">
        <v>33</v>
      </c>
      <c r="D12" s="19" t="s">
        <v>34</v>
      </c>
      <c r="E12" s="20">
        <v>64.989999999999995</v>
      </c>
      <c r="F12" s="17">
        <v>1</v>
      </c>
      <c r="G12" s="20">
        <f t="shared" si="0"/>
        <v>64.989999999999995</v>
      </c>
      <c r="H12" s="17"/>
    </row>
    <row r="13" spans="1:10" ht="14.25" customHeight="1">
      <c r="A13" s="17" t="s">
        <v>35</v>
      </c>
      <c r="B13" s="18" t="s">
        <v>36</v>
      </c>
      <c r="C13" s="18" t="s">
        <v>37</v>
      </c>
      <c r="D13" s="19" t="s">
        <v>38</v>
      </c>
      <c r="E13" s="20">
        <v>58.86</v>
      </c>
      <c r="F13" s="17">
        <v>1</v>
      </c>
      <c r="G13" s="20">
        <f t="shared" si="0"/>
        <v>58.86</v>
      </c>
      <c r="H13" s="17"/>
      <c r="J13" s="22"/>
    </row>
    <row r="14" spans="1:10" ht="14.25" customHeight="1">
      <c r="A14" s="17" t="s">
        <v>39</v>
      </c>
      <c r="B14" s="18" t="s">
        <v>40</v>
      </c>
      <c r="C14" s="18" t="s">
        <v>41</v>
      </c>
      <c r="D14" s="19" t="s">
        <v>42</v>
      </c>
      <c r="E14" s="20">
        <v>1301</v>
      </c>
      <c r="F14" s="17">
        <v>2</v>
      </c>
      <c r="G14" s="20">
        <f t="shared" si="0"/>
        <v>2602</v>
      </c>
      <c r="H14" s="17"/>
    </row>
    <row r="15" spans="1:10" ht="14.25" customHeight="1">
      <c r="A15" s="17" t="s">
        <v>43</v>
      </c>
      <c r="B15" s="18" t="s">
        <v>40</v>
      </c>
      <c r="C15" s="18" t="s">
        <v>44</v>
      </c>
      <c r="D15" s="19" t="s">
        <v>45</v>
      </c>
      <c r="E15" s="20">
        <v>41.4</v>
      </c>
      <c r="F15" s="17">
        <v>2</v>
      </c>
      <c r="G15" s="20">
        <f t="shared" si="0"/>
        <v>82.8</v>
      </c>
      <c r="H15" s="17"/>
    </row>
    <row r="16" spans="1:10" ht="15.75" customHeight="1">
      <c r="A16" s="17" t="s">
        <v>46</v>
      </c>
      <c r="B16" s="18" t="s">
        <v>40</v>
      </c>
      <c r="C16" s="18" t="s">
        <v>47</v>
      </c>
      <c r="D16" s="19" t="s">
        <v>48</v>
      </c>
      <c r="E16" s="20">
        <v>147.86000000000001</v>
      </c>
      <c r="F16" s="17">
        <v>2</v>
      </c>
      <c r="G16" s="20">
        <f t="shared" si="0"/>
        <v>295.72000000000003</v>
      </c>
      <c r="H16" s="17"/>
    </row>
    <row r="17" spans="1:10" ht="14.25" customHeight="1">
      <c r="A17" s="17" t="s">
        <v>49</v>
      </c>
      <c r="B17" s="18" t="s">
        <v>40</v>
      </c>
      <c r="C17" s="18" t="s">
        <v>50</v>
      </c>
      <c r="D17" s="19" t="s">
        <v>51</v>
      </c>
      <c r="E17" s="20">
        <v>600</v>
      </c>
      <c r="F17" s="17">
        <v>12</v>
      </c>
      <c r="G17" s="20">
        <f t="shared" si="0"/>
        <v>7200</v>
      </c>
      <c r="H17" s="17"/>
      <c r="J17" s="22"/>
    </row>
    <row r="18" spans="1:10" ht="14.25" customHeight="1">
      <c r="A18" s="17" t="s">
        <v>52</v>
      </c>
      <c r="B18" s="18" t="s">
        <v>53</v>
      </c>
      <c r="C18" s="18" t="s">
        <v>54</v>
      </c>
      <c r="D18" s="19" t="s">
        <v>55</v>
      </c>
      <c r="E18" s="20">
        <v>42.61</v>
      </c>
      <c r="F18" s="17">
        <v>2</v>
      </c>
      <c r="G18" s="20">
        <f t="shared" si="0"/>
        <v>85.22</v>
      </c>
      <c r="H18" s="17"/>
    </row>
    <row r="19" spans="1:10" ht="14.25" customHeight="1">
      <c r="A19" s="17" t="s">
        <v>56</v>
      </c>
      <c r="B19" s="18" t="s">
        <v>57</v>
      </c>
      <c r="C19" s="18" t="s">
        <v>58</v>
      </c>
      <c r="D19" s="19" t="s">
        <v>55</v>
      </c>
      <c r="E19" s="20">
        <v>155.19</v>
      </c>
      <c r="F19" s="17">
        <v>1</v>
      </c>
      <c r="G19" s="20">
        <f t="shared" si="0"/>
        <v>155.19</v>
      </c>
      <c r="H19" s="17"/>
    </row>
    <row r="20" spans="1:10" ht="14.25" customHeight="1">
      <c r="A20" s="17" t="s">
        <v>59</v>
      </c>
      <c r="B20" s="18" t="s">
        <v>27</v>
      </c>
      <c r="C20" s="18" t="s">
        <v>60</v>
      </c>
      <c r="D20" s="19" t="s">
        <v>55</v>
      </c>
      <c r="E20" s="20">
        <v>120</v>
      </c>
      <c r="F20" s="17">
        <v>1</v>
      </c>
      <c r="G20" s="20">
        <f t="shared" si="0"/>
        <v>120</v>
      </c>
      <c r="H20" s="17"/>
    </row>
    <row r="21" spans="1:10" ht="14.25" customHeight="1">
      <c r="B21" s="23"/>
      <c r="C21" s="23"/>
      <c r="D21" s="24"/>
      <c r="F21" s="25" t="s">
        <v>61</v>
      </c>
      <c r="G21" s="26">
        <f>SUM(G7:G20)</f>
        <v>15207.599999999999</v>
      </c>
      <c r="H21" s="22"/>
    </row>
    <row r="22" spans="1:10" ht="14.25" customHeight="1">
      <c r="B22" s="23"/>
      <c r="C22" s="23"/>
      <c r="D22" s="24"/>
      <c r="F22" s="25" t="s">
        <v>62</v>
      </c>
      <c r="G22" s="26">
        <f>G21/num_samples</f>
        <v>15.207599999999999</v>
      </c>
    </row>
    <row r="23" spans="1:10" ht="14.25" customHeight="1">
      <c r="A23" s="8" t="s">
        <v>63</v>
      </c>
      <c r="B23" s="9"/>
      <c r="C23" s="10"/>
      <c r="D23" s="10"/>
      <c r="E23" s="9"/>
      <c r="F23" s="11"/>
      <c r="G23" s="11"/>
      <c r="H23" s="11"/>
    </row>
    <row r="24" spans="1:10" ht="14.25" customHeight="1">
      <c r="A24" s="17" t="s">
        <v>64</v>
      </c>
      <c r="B24" s="18" t="s">
        <v>65</v>
      </c>
      <c r="C24" s="18" t="s">
        <v>66</v>
      </c>
      <c r="D24" s="19" t="s">
        <v>67</v>
      </c>
      <c r="E24" s="20">
        <v>22.21</v>
      </c>
      <c r="F24" s="17">
        <v>1</v>
      </c>
      <c r="G24" s="20">
        <f t="shared" ref="G24:G35" si="1">SUM(F24*E24)</f>
        <v>22.21</v>
      </c>
      <c r="H24" s="17"/>
    </row>
    <row r="25" spans="1:10" ht="14.25" customHeight="1">
      <c r="A25" s="17" t="s">
        <v>68</v>
      </c>
      <c r="B25" s="18" t="s">
        <v>27</v>
      </c>
      <c r="C25" s="18">
        <v>10125707</v>
      </c>
      <c r="D25" s="19" t="s">
        <v>69</v>
      </c>
      <c r="E25" s="20">
        <v>91.43</v>
      </c>
      <c r="F25" s="17">
        <v>1</v>
      </c>
      <c r="G25" s="20">
        <f t="shared" si="1"/>
        <v>91.43</v>
      </c>
      <c r="H25" s="17"/>
      <c r="I25" s="27"/>
    </row>
    <row r="26" spans="1:10" ht="15.75" customHeight="1">
      <c r="A26" s="17" t="s">
        <v>70</v>
      </c>
      <c r="B26" s="18" t="s">
        <v>71</v>
      </c>
      <c r="C26" s="18">
        <v>676001</v>
      </c>
      <c r="D26" s="19" t="s">
        <v>72</v>
      </c>
      <c r="E26" s="20">
        <v>88.88</v>
      </c>
      <c r="F26" s="17">
        <v>1</v>
      </c>
      <c r="G26" s="20">
        <f t="shared" si="1"/>
        <v>88.88</v>
      </c>
      <c r="H26" s="17"/>
    </row>
    <row r="27" spans="1:10" ht="15.75" customHeight="1">
      <c r="A27" s="17" t="s">
        <v>73</v>
      </c>
      <c r="B27" s="18" t="s">
        <v>74</v>
      </c>
      <c r="C27" s="18" t="s">
        <v>75</v>
      </c>
      <c r="D27" s="19" t="s">
        <v>76</v>
      </c>
      <c r="E27" s="20">
        <v>88.01</v>
      </c>
      <c r="F27" s="17">
        <v>3</v>
      </c>
      <c r="G27" s="20">
        <f t="shared" si="1"/>
        <v>264.03000000000003</v>
      </c>
      <c r="H27" s="17"/>
    </row>
    <row r="28" spans="1:10" ht="15.75" customHeight="1">
      <c r="A28" s="17" t="s">
        <v>77</v>
      </c>
      <c r="B28" s="18" t="s">
        <v>27</v>
      </c>
      <c r="C28" s="18" t="s">
        <v>78</v>
      </c>
      <c r="D28" s="19" t="s">
        <v>79</v>
      </c>
      <c r="E28" s="20">
        <v>298.26</v>
      </c>
      <c r="F28" s="17">
        <v>1</v>
      </c>
      <c r="G28" s="20">
        <f t="shared" si="1"/>
        <v>298.26</v>
      </c>
      <c r="H28" s="17"/>
    </row>
    <row r="29" spans="1:10" ht="14.25" customHeight="1">
      <c r="A29" s="17" t="s">
        <v>80</v>
      </c>
      <c r="B29" s="18" t="s">
        <v>27</v>
      </c>
      <c r="C29" s="18" t="s">
        <v>81</v>
      </c>
      <c r="D29" s="19" t="s">
        <v>82</v>
      </c>
      <c r="E29" s="20">
        <v>130</v>
      </c>
      <c r="F29" s="17">
        <v>4</v>
      </c>
      <c r="G29" s="20">
        <f t="shared" si="1"/>
        <v>520</v>
      </c>
      <c r="H29" s="17"/>
    </row>
    <row r="30" spans="1:10" ht="18.75" customHeight="1">
      <c r="A30" s="17" t="s">
        <v>83</v>
      </c>
      <c r="B30" s="18" t="s">
        <v>57</v>
      </c>
      <c r="C30" s="18" t="s">
        <v>84</v>
      </c>
      <c r="D30" s="19" t="s">
        <v>85</v>
      </c>
      <c r="E30" s="20">
        <v>74.55</v>
      </c>
      <c r="F30" s="17">
        <v>3</v>
      </c>
      <c r="G30" s="20">
        <f t="shared" si="1"/>
        <v>223.64999999999998</v>
      </c>
      <c r="H30" s="17"/>
    </row>
    <row r="31" spans="1:10" ht="15.75" customHeight="1">
      <c r="A31" s="17" t="s">
        <v>86</v>
      </c>
      <c r="B31" s="18" t="s">
        <v>87</v>
      </c>
      <c r="C31" s="18" t="s">
        <v>88</v>
      </c>
      <c r="D31" s="19" t="s">
        <v>89</v>
      </c>
      <c r="E31" s="20">
        <v>40</v>
      </c>
      <c r="F31" s="17">
        <v>1</v>
      </c>
      <c r="G31" s="20">
        <f t="shared" si="1"/>
        <v>40</v>
      </c>
      <c r="H31" s="17"/>
      <c r="J31" s="27"/>
    </row>
    <row r="32" spans="1:10" ht="15.75" customHeight="1">
      <c r="A32" s="17" t="s">
        <v>90</v>
      </c>
      <c r="B32" s="18" t="s">
        <v>91</v>
      </c>
      <c r="C32" s="18" t="s">
        <v>91</v>
      </c>
      <c r="D32" s="19" t="s">
        <v>92</v>
      </c>
      <c r="E32" s="20">
        <v>396.29</v>
      </c>
      <c r="F32" s="17">
        <v>1</v>
      </c>
      <c r="G32" s="20">
        <f t="shared" si="1"/>
        <v>396.29</v>
      </c>
      <c r="H32" s="28" t="s">
        <v>93</v>
      </c>
    </row>
    <row r="33" spans="1:8" ht="15.75" customHeight="1">
      <c r="A33" s="17" t="s">
        <v>94</v>
      </c>
      <c r="B33" s="18" t="s">
        <v>91</v>
      </c>
      <c r="C33" s="18" t="s">
        <v>91</v>
      </c>
      <c r="D33" s="19" t="s">
        <v>95</v>
      </c>
      <c r="E33" s="20">
        <v>100</v>
      </c>
      <c r="F33" s="17">
        <v>14</v>
      </c>
      <c r="G33" s="20">
        <f t="shared" si="1"/>
        <v>1400</v>
      </c>
      <c r="H33" s="28" t="s">
        <v>93</v>
      </c>
    </row>
    <row r="34" spans="1:8" ht="15.75" customHeight="1">
      <c r="A34" s="17" t="s">
        <v>96</v>
      </c>
      <c r="B34" s="18" t="s">
        <v>91</v>
      </c>
      <c r="C34" s="18" t="s">
        <v>91</v>
      </c>
      <c r="D34" s="19" t="s">
        <v>95</v>
      </c>
      <c r="E34" s="20">
        <v>64.27</v>
      </c>
      <c r="F34" s="17">
        <v>1</v>
      </c>
      <c r="G34" s="20">
        <f t="shared" si="1"/>
        <v>64.27</v>
      </c>
      <c r="H34" s="28" t="s">
        <v>93</v>
      </c>
    </row>
    <row r="35" spans="1:8" ht="15.75" customHeight="1">
      <c r="A35" s="17" t="s">
        <v>97</v>
      </c>
      <c r="B35" s="18" t="s">
        <v>91</v>
      </c>
      <c r="C35" s="18" t="s">
        <v>91</v>
      </c>
      <c r="D35" s="19" t="s">
        <v>95</v>
      </c>
      <c r="E35" s="20">
        <v>83.6</v>
      </c>
      <c r="F35" s="17">
        <v>1</v>
      </c>
      <c r="G35" s="20">
        <f t="shared" si="1"/>
        <v>83.6</v>
      </c>
      <c r="H35" s="28" t="s">
        <v>93</v>
      </c>
    </row>
    <row r="36" spans="1:8" ht="15.75" customHeight="1">
      <c r="A36" s="29" t="s">
        <v>98</v>
      </c>
      <c r="B36" s="23"/>
      <c r="C36" s="23"/>
      <c r="D36" s="24"/>
      <c r="F36" s="25" t="s">
        <v>61</v>
      </c>
      <c r="G36" s="26">
        <f>SUM(G24:G35)</f>
        <v>3492.62</v>
      </c>
      <c r="H36" s="30"/>
    </row>
    <row r="37" spans="1:8" ht="15.75" customHeight="1">
      <c r="A37" s="27" t="s">
        <v>99</v>
      </c>
      <c r="B37" s="23"/>
      <c r="C37" s="23"/>
      <c r="D37" s="24"/>
      <c r="F37" s="25" t="s">
        <v>100</v>
      </c>
      <c r="G37" s="26">
        <f>SUM(G36/num_samples)</f>
        <v>3.4926200000000001</v>
      </c>
      <c r="H37" s="31"/>
    </row>
    <row r="38" spans="1:8" ht="15.75" customHeight="1">
      <c r="A38" s="32" t="s">
        <v>101</v>
      </c>
      <c r="C38" s="24"/>
      <c r="D38" s="24"/>
      <c r="H38" s="22"/>
    </row>
    <row r="39" spans="1:8" ht="14.25" customHeight="1">
      <c r="A39" s="32" t="s">
        <v>102</v>
      </c>
      <c r="C39" s="24"/>
      <c r="D39" s="24"/>
    </row>
    <row r="40" spans="1:8" ht="15.6">
      <c r="C40" s="24"/>
      <c r="D40" s="24"/>
      <c r="F40" s="33" t="s">
        <v>103</v>
      </c>
      <c r="G40" s="34">
        <f>SUM(G21+G36)</f>
        <v>18700.219999999998</v>
      </c>
    </row>
    <row r="41" spans="1:8" ht="31.2">
      <c r="C41" s="24"/>
      <c r="D41" s="24"/>
      <c r="F41" s="33" t="s">
        <v>104</v>
      </c>
      <c r="G41" s="34">
        <f>G40/num_samples</f>
        <v>18.700219999999998</v>
      </c>
    </row>
    <row r="42" spans="1:8" ht="15.75" customHeight="1">
      <c r="C42" s="24"/>
      <c r="D42" s="24"/>
    </row>
    <row r="43" spans="1:8" ht="15.75" customHeight="1">
      <c r="C43" s="24"/>
      <c r="D43" s="24"/>
    </row>
    <row r="44" spans="1:8" ht="15.75" customHeight="1">
      <c r="C44" s="24"/>
      <c r="D44" s="24"/>
    </row>
    <row r="45" spans="1:8" ht="15.75" customHeight="1">
      <c r="C45" s="24"/>
      <c r="D45" s="24"/>
    </row>
    <row r="46" spans="1:8" ht="15.75" customHeight="1">
      <c r="C46" s="24"/>
      <c r="D46" s="24"/>
    </row>
    <row r="47" spans="1:8" ht="15.75" customHeight="1">
      <c r="C47" s="24"/>
      <c r="D47" s="24"/>
    </row>
    <row r="48" spans="1:8" ht="15.75" customHeight="1">
      <c r="C48" s="24"/>
      <c r="D48" s="24"/>
    </row>
    <row r="49" spans="3:4" ht="15.75" customHeight="1">
      <c r="C49" s="24"/>
      <c r="D49" s="24"/>
    </row>
    <row r="50" spans="3:4" ht="15.75" customHeight="1">
      <c r="C50" s="24"/>
      <c r="D50" s="24"/>
    </row>
    <row r="51" spans="3:4" ht="15.75" customHeight="1">
      <c r="C51" s="24"/>
      <c r="D51" s="24"/>
    </row>
    <row r="52" spans="3:4" ht="15.75" customHeight="1">
      <c r="C52" s="24"/>
      <c r="D52" s="24"/>
    </row>
    <row r="53" spans="3:4" ht="15.75" customHeight="1">
      <c r="C53" s="24"/>
      <c r="D53" s="24"/>
    </row>
    <row r="54" spans="3:4" ht="15.75" customHeight="1">
      <c r="C54" s="24"/>
      <c r="D54" s="24"/>
    </row>
    <row r="55" spans="3:4" ht="15.75" customHeight="1">
      <c r="C55" s="24"/>
      <c r="D55" s="24"/>
    </row>
    <row r="56" spans="3:4" ht="15.75" customHeight="1">
      <c r="C56" s="24"/>
      <c r="D56" s="24"/>
    </row>
    <row r="57" spans="3:4" ht="15.75" customHeight="1">
      <c r="C57" s="24"/>
      <c r="D57" s="24"/>
    </row>
    <row r="58" spans="3:4" ht="15.75" customHeight="1">
      <c r="C58" s="24"/>
      <c r="D58" s="24"/>
    </row>
    <row r="59" spans="3:4" ht="15.75" customHeight="1">
      <c r="C59" s="24"/>
      <c r="D59" s="24"/>
    </row>
    <row r="60" spans="3:4" ht="15.75" customHeight="1">
      <c r="C60" s="24"/>
      <c r="D60" s="24"/>
    </row>
    <row r="61" spans="3:4" ht="15.75" customHeight="1">
      <c r="C61" s="24"/>
      <c r="D61" s="24"/>
    </row>
    <row r="62" spans="3:4" ht="15.75" customHeight="1">
      <c r="C62" s="24"/>
      <c r="D62" s="24"/>
    </row>
    <row r="63" spans="3:4" ht="15.75" customHeight="1">
      <c r="C63" s="24"/>
      <c r="D63" s="24"/>
    </row>
    <row r="64" spans="3:4" ht="15.75" customHeight="1">
      <c r="C64" s="24"/>
      <c r="D64" s="24"/>
    </row>
    <row r="65" spans="3:4" ht="15.75" customHeight="1">
      <c r="C65" s="24"/>
      <c r="D65" s="24"/>
    </row>
    <row r="66" spans="3:4" ht="15.75" customHeight="1">
      <c r="C66" s="24"/>
      <c r="D66" s="24"/>
    </row>
    <row r="67" spans="3:4" ht="15.75" customHeight="1">
      <c r="C67" s="24"/>
      <c r="D67" s="24"/>
    </row>
    <row r="68" spans="3:4" ht="15.75" customHeight="1">
      <c r="C68" s="24"/>
      <c r="D68" s="24"/>
    </row>
    <row r="69" spans="3:4" ht="15.75" customHeight="1">
      <c r="C69" s="24"/>
      <c r="D69" s="24"/>
    </row>
    <row r="70" spans="3:4" ht="15.75" customHeight="1">
      <c r="C70" s="24"/>
      <c r="D70" s="24"/>
    </row>
    <row r="71" spans="3:4" ht="15.75" customHeight="1">
      <c r="C71" s="24"/>
      <c r="D71" s="24"/>
    </row>
    <row r="72" spans="3:4" ht="15.75" customHeight="1">
      <c r="C72" s="24"/>
      <c r="D72" s="24"/>
    </row>
    <row r="73" spans="3:4" ht="15.75" customHeight="1">
      <c r="C73" s="24"/>
      <c r="D73" s="24"/>
    </row>
    <row r="74" spans="3:4" ht="15.75" customHeight="1">
      <c r="C74" s="24"/>
      <c r="D74" s="24"/>
    </row>
    <row r="75" spans="3:4" ht="15.75" customHeight="1">
      <c r="C75" s="24"/>
      <c r="D75" s="24"/>
    </row>
    <row r="76" spans="3:4" ht="15.75" customHeight="1">
      <c r="C76" s="24"/>
      <c r="D76" s="24"/>
    </row>
    <row r="77" spans="3:4" ht="15.75" customHeight="1">
      <c r="C77" s="24"/>
      <c r="D77" s="24"/>
    </row>
    <row r="78" spans="3:4" ht="15.75" customHeight="1">
      <c r="C78" s="24"/>
      <c r="D78" s="24"/>
    </row>
    <row r="79" spans="3:4" ht="15.75" customHeight="1">
      <c r="C79" s="24"/>
      <c r="D79" s="24"/>
    </row>
    <row r="80" spans="3:4" ht="15.75" customHeight="1">
      <c r="C80" s="24"/>
      <c r="D80" s="24"/>
    </row>
    <row r="81" spans="3:4" ht="15.75" customHeight="1">
      <c r="C81" s="24"/>
      <c r="D81" s="24"/>
    </row>
    <row r="82" spans="3:4" ht="15.75" customHeight="1">
      <c r="C82" s="24"/>
      <c r="D82" s="24"/>
    </row>
    <row r="83" spans="3:4" ht="15.75" customHeight="1">
      <c r="C83" s="24"/>
      <c r="D83" s="24"/>
    </row>
    <row r="84" spans="3:4" ht="15.75" customHeight="1">
      <c r="C84" s="24"/>
      <c r="D84" s="24"/>
    </row>
    <row r="85" spans="3:4" ht="15.75" customHeight="1">
      <c r="C85" s="24"/>
      <c r="D85" s="24"/>
    </row>
    <row r="86" spans="3:4" ht="15.75" customHeight="1">
      <c r="C86" s="24"/>
      <c r="D86" s="24"/>
    </row>
    <row r="87" spans="3:4" ht="15.75" customHeight="1">
      <c r="C87" s="24"/>
      <c r="D87" s="24"/>
    </row>
    <row r="88" spans="3:4" ht="15.75" customHeight="1">
      <c r="C88" s="24"/>
      <c r="D88" s="24"/>
    </row>
    <row r="89" spans="3:4" ht="15.75" customHeight="1">
      <c r="C89" s="24"/>
      <c r="D89" s="24"/>
    </row>
    <row r="90" spans="3:4" ht="15.75" customHeight="1">
      <c r="C90" s="24"/>
      <c r="D90" s="24"/>
    </row>
    <row r="91" spans="3:4" ht="15.75" customHeight="1">
      <c r="C91" s="24"/>
      <c r="D91" s="24"/>
    </row>
    <row r="92" spans="3:4" ht="15.75" customHeight="1">
      <c r="C92" s="24"/>
      <c r="D92" s="24"/>
    </row>
    <row r="93" spans="3:4" ht="15.75" customHeight="1">
      <c r="C93" s="24"/>
      <c r="D93" s="24"/>
    </row>
    <row r="94" spans="3:4" ht="15.75" customHeight="1">
      <c r="C94" s="24"/>
      <c r="D94" s="24"/>
    </row>
    <row r="95" spans="3:4" ht="15.75" customHeight="1">
      <c r="C95" s="24"/>
      <c r="D95" s="24"/>
    </row>
    <row r="96" spans="3:4" ht="15.75" customHeight="1">
      <c r="C96" s="24"/>
      <c r="D96" s="24"/>
    </row>
    <row r="97" spans="3:4" ht="15.75" customHeight="1">
      <c r="C97" s="24"/>
      <c r="D97" s="24"/>
    </row>
    <row r="98" spans="3:4" ht="15.75" customHeight="1">
      <c r="C98" s="24"/>
      <c r="D98" s="24"/>
    </row>
    <row r="99" spans="3:4" ht="15.75" customHeight="1">
      <c r="C99" s="24"/>
      <c r="D99" s="24"/>
    </row>
    <row r="100" spans="3:4" ht="15.75" customHeight="1">
      <c r="C100" s="24"/>
      <c r="D100" s="24"/>
    </row>
    <row r="101" spans="3:4" ht="15.75" customHeight="1">
      <c r="C101" s="24"/>
      <c r="D101" s="24"/>
    </row>
    <row r="102" spans="3:4" ht="15.75" customHeight="1">
      <c r="C102" s="24"/>
      <c r="D102" s="24"/>
    </row>
    <row r="103" spans="3:4" ht="15.75" customHeight="1">
      <c r="C103" s="24"/>
      <c r="D103" s="24"/>
    </row>
    <row r="104" spans="3:4" ht="15.75" customHeight="1">
      <c r="C104" s="24"/>
      <c r="D104" s="24"/>
    </row>
    <row r="105" spans="3:4" ht="15.75" customHeight="1">
      <c r="C105" s="24"/>
      <c r="D105" s="24"/>
    </row>
    <row r="106" spans="3:4" ht="15.75" customHeight="1">
      <c r="C106" s="24"/>
      <c r="D106" s="24"/>
    </row>
    <row r="107" spans="3:4" ht="15.75" customHeight="1">
      <c r="C107" s="24"/>
      <c r="D107" s="24"/>
    </row>
    <row r="108" spans="3:4" ht="15.75" customHeight="1">
      <c r="C108" s="24"/>
      <c r="D108" s="24"/>
    </row>
    <row r="109" spans="3:4" ht="15.75" customHeight="1">
      <c r="C109" s="24"/>
      <c r="D109" s="24"/>
    </row>
    <row r="110" spans="3:4" ht="15.75" customHeight="1">
      <c r="C110" s="24"/>
      <c r="D110" s="24"/>
    </row>
    <row r="111" spans="3:4" ht="15.75" customHeight="1">
      <c r="C111" s="24"/>
      <c r="D111" s="24"/>
    </row>
    <row r="112" spans="3:4" ht="15.75" customHeight="1">
      <c r="C112" s="24"/>
      <c r="D112" s="24"/>
    </row>
    <row r="113" spans="3:4" ht="15.75" customHeight="1">
      <c r="C113" s="24"/>
      <c r="D113" s="24"/>
    </row>
    <row r="114" spans="3:4" ht="15.75" customHeight="1">
      <c r="C114" s="24"/>
      <c r="D114" s="24"/>
    </row>
    <row r="115" spans="3:4" ht="15.75" customHeight="1">
      <c r="C115" s="24"/>
      <c r="D115" s="24"/>
    </row>
    <row r="116" spans="3:4" ht="15.75" customHeight="1">
      <c r="C116" s="24"/>
      <c r="D116" s="24"/>
    </row>
    <row r="117" spans="3:4" ht="15.75" customHeight="1">
      <c r="C117" s="24"/>
      <c r="D117" s="24"/>
    </row>
    <row r="118" spans="3:4" ht="15.75" customHeight="1">
      <c r="C118" s="24"/>
      <c r="D118" s="24"/>
    </row>
    <row r="119" spans="3:4" ht="15.75" customHeight="1">
      <c r="C119" s="24"/>
      <c r="D119" s="24"/>
    </row>
    <row r="120" spans="3:4" ht="15.75" customHeight="1">
      <c r="C120" s="24"/>
      <c r="D120" s="24"/>
    </row>
    <row r="121" spans="3:4" ht="15.75" customHeight="1">
      <c r="C121" s="24"/>
      <c r="D121" s="24"/>
    </row>
    <row r="122" spans="3:4" ht="15.75" customHeight="1">
      <c r="C122" s="24"/>
      <c r="D122" s="24"/>
    </row>
    <row r="123" spans="3:4" ht="15.75" customHeight="1">
      <c r="C123" s="24"/>
      <c r="D123" s="24"/>
    </row>
    <row r="124" spans="3:4" ht="15.75" customHeight="1">
      <c r="C124" s="24"/>
      <c r="D124" s="24"/>
    </row>
    <row r="125" spans="3:4" ht="15.75" customHeight="1">
      <c r="C125" s="24"/>
      <c r="D125" s="24"/>
    </row>
    <row r="126" spans="3:4" ht="15.75" customHeight="1">
      <c r="C126" s="24"/>
      <c r="D126" s="24"/>
    </row>
    <row r="127" spans="3:4" ht="15.75" customHeight="1">
      <c r="C127" s="24"/>
      <c r="D127" s="24"/>
    </row>
    <row r="128" spans="3:4" ht="15.75" customHeight="1">
      <c r="C128" s="24"/>
      <c r="D128" s="24"/>
    </row>
    <row r="129" spans="3:4" ht="15.75" customHeight="1">
      <c r="C129" s="24"/>
      <c r="D129" s="24"/>
    </row>
    <row r="130" spans="3:4" ht="15.75" customHeight="1">
      <c r="C130" s="24"/>
      <c r="D130" s="24"/>
    </row>
    <row r="131" spans="3:4" ht="15.75" customHeight="1">
      <c r="C131" s="24"/>
      <c r="D131" s="24"/>
    </row>
    <row r="132" spans="3:4" ht="15.75" customHeight="1">
      <c r="C132" s="24"/>
      <c r="D132" s="24"/>
    </row>
    <row r="133" spans="3:4" ht="15.75" customHeight="1">
      <c r="C133" s="24"/>
      <c r="D133" s="24"/>
    </row>
    <row r="134" spans="3:4" ht="15.75" customHeight="1">
      <c r="C134" s="24"/>
      <c r="D134" s="24"/>
    </row>
    <row r="135" spans="3:4" ht="15.75" customHeight="1">
      <c r="C135" s="24"/>
      <c r="D135" s="24"/>
    </row>
    <row r="136" spans="3:4" ht="15.75" customHeight="1">
      <c r="C136" s="24"/>
      <c r="D136" s="24"/>
    </row>
    <row r="137" spans="3:4" ht="15.75" customHeight="1">
      <c r="C137" s="24"/>
      <c r="D137" s="24"/>
    </row>
    <row r="138" spans="3:4" ht="15.75" customHeight="1">
      <c r="C138" s="24"/>
      <c r="D138" s="24"/>
    </row>
    <row r="139" spans="3:4" ht="15.75" customHeight="1">
      <c r="C139" s="24"/>
      <c r="D139" s="24"/>
    </row>
    <row r="140" spans="3:4" ht="15.75" customHeight="1">
      <c r="C140" s="24"/>
      <c r="D140" s="24"/>
    </row>
    <row r="141" spans="3:4" ht="15.75" customHeight="1">
      <c r="C141" s="24"/>
      <c r="D141" s="24"/>
    </row>
    <row r="142" spans="3:4" ht="15.75" customHeight="1">
      <c r="C142" s="24"/>
      <c r="D142" s="24"/>
    </row>
    <row r="143" spans="3:4" ht="15.75" customHeight="1">
      <c r="C143" s="24"/>
      <c r="D143" s="24"/>
    </row>
    <row r="144" spans="3:4" ht="15.75" customHeight="1">
      <c r="C144" s="24"/>
      <c r="D144" s="24"/>
    </row>
    <row r="145" spans="3:4" ht="15.75" customHeight="1">
      <c r="C145" s="24"/>
      <c r="D145" s="24"/>
    </row>
    <row r="146" spans="3:4" ht="15.75" customHeight="1">
      <c r="C146" s="24"/>
      <c r="D146" s="24"/>
    </row>
    <row r="147" spans="3:4" ht="15.75" customHeight="1">
      <c r="C147" s="24"/>
      <c r="D147" s="24"/>
    </row>
    <row r="148" spans="3:4" ht="15.75" customHeight="1">
      <c r="C148" s="24"/>
      <c r="D148" s="24"/>
    </row>
    <row r="149" spans="3:4" ht="15.75" customHeight="1">
      <c r="C149" s="24"/>
      <c r="D149" s="24"/>
    </row>
    <row r="150" spans="3:4" ht="15.75" customHeight="1">
      <c r="C150" s="24"/>
      <c r="D150" s="24"/>
    </row>
    <row r="151" spans="3:4" ht="15.75" customHeight="1">
      <c r="C151" s="24"/>
      <c r="D151" s="24"/>
    </row>
    <row r="152" spans="3:4" ht="15.75" customHeight="1">
      <c r="C152" s="24"/>
      <c r="D152" s="24"/>
    </row>
    <row r="153" spans="3:4" ht="15.75" customHeight="1">
      <c r="C153" s="24"/>
      <c r="D153" s="24"/>
    </row>
    <row r="154" spans="3:4" ht="15.75" customHeight="1">
      <c r="C154" s="24"/>
      <c r="D154" s="24"/>
    </row>
    <row r="155" spans="3:4" ht="15.75" customHeight="1">
      <c r="C155" s="24"/>
      <c r="D155" s="24"/>
    </row>
    <row r="156" spans="3:4" ht="15.75" customHeight="1">
      <c r="C156" s="24"/>
      <c r="D156" s="24"/>
    </row>
    <row r="157" spans="3:4" ht="15.75" customHeight="1">
      <c r="C157" s="24"/>
      <c r="D157" s="24"/>
    </row>
    <row r="158" spans="3:4" ht="15.75" customHeight="1">
      <c r="C158" s="24"/>
      <c r="D158" s="24"/>
    </row>
    <row r="159" spans="3:4" ht="15.75" customHeight="1">
      <c r="C159" s="24"/>
      <c r="D159" s="24"/>
    </row>
    <row r="160" spans="3:4" ht="15.75" customHeight="1">
      <c r="C160" s="24"/>
      <c r="D160" s="24"/>
    </row>
    <row r="161" spans="3:4" ht="15.75" customHeight="1">
      <c r="C161" s="24"/>
      <c r="D161" s="24"/>
    </row>
    <row r="162" spans="3:4" ht="15.75" customHeight="1">
      <c r="C162" s="24"/>
      <c r="D162" s="24"/>
    </row>
    <row r="163" spans="3:4" ht="15.75" customHeight="1">
      <c r="C163" s="24"/>
      <c r="D163" s="24"/>
    </row>
    <row r="164" spans="3:4" ht="15.75" customHeight="1">
      <c r="C164" s="24"/>
      <c r="D164" s="24"/>
    </row>
    <row r="165" spans="3:4" ht="15.75" customHeight="1">
      <c r="C165" s="24"/>
      <c r="D165" s="24"/>
    </row>
    <row r="166" spans="3:4" ht="15.75" customHeight="1">
      <c r="C166" s="24"/>
      <c r="D166" s="24"/>
    </row>
    <row r="167" spans="3:4" ht="15.75" customHeight="1">
      <c r="C167" s="24"/>
      <c r="D167" s="24"/>
    </row>
    <row r="168" spans="3:4" ht="15.75" customHeight="1">
      <c r="C168" s="24"/>
      <c r="D168" s="24"/>
    </row>
    <row r="169" spans="3:4" ht="15.75" customHeight="1">
      <c r="C169" s="24"/>
      <c r="D169" s="24"/>
    </row>
    <row r="170" spans="3:4" ht="15.75" customHeight="1">
      <c r="C170" s="24"/>
      <c r="D170" s="24"/>
    </row>
    <row r="171" spans="3:4" ht="15.75" customHeight="1">
      <c r="C171" s="24"/>
      <c r="D171" s="24"/>
    </row>
    <row r="172" spans="3:4" ht="15.75" customHeight="1">
      <c r="C172" s="24"/>
      <c r="D172" s="24"/>
    </row>
    <row r="173" spans="3:4" ht="15.75" customHeight="1">
      <c r="C173" s="24"/>
      <c r="D173" s="24"/>
    </row>
    <row r="174" spans="3:4" ht="15.75" customHeight="1">
      <c r="C174" s="24"/>
      <c r="D174" s="24"/>
    </row>
    <row r="175" spans="3:4" ht="15.75" customHeight="1">
      <c r="C175" s="24"/>
      <c r="D175" s="24"/>
    </row>
    <row r="176" spans="3:4" ht="15.75" customHeight="1">
      <c r="C176" s="24"/>
      <c r="D176" s="24"/>
    </row>
    <row r="177" spans="3:4" ht="15.75" customHeight="1">
      <c r="C177" s="24"/>
      <c r="D177" s="24"/>
    </row>
    <row r="178" spans="3:4" ht="15.75" customHeight="1">
      <c r="C178" s="24"/>
      <c r="D178" s="24"/>
    </row>
    <row r="179" spans="3:4" ht="15.75" customHeight="1">
      <c r="C179" s="24"/>
      <c r="D179" s="24"/>
    </row>
    <row r="180" spans="3:4" ht="15.75" customHeight="1">
      <c r="C180" s="24"/>
      <c r="D180" s="24"/>
    </row>
    <row r="181" spans="3:4" ht="15.75" customHeight="1">
      <c r="C181" s="24"/>
      <c r="D181" s="24"/>
    </row>
    <row r="182" spans="3:4" ht="15.75" customHeight="1">
      <c r="C182" s="24"/>
      <c r="D182" s="24"/>
    </row>
    <row r="183" spans="3:4" ht="15.75" customHeight="1">
      <c r="C183" s="24"/>
      <c r="D183" s="24"/>
    </row>
    <row r="184" spans="3:4" ht="15.75" customHeight="1">
      <c r="C184" s="24"/>
      <c r="D184" s="24"/>
    </row>
    <row r="185" spans="3:4" ht="15.75" customHeight="1">
      <c r="C185" s="24"/>
      <c r="D185" s="24"/>
    </row>
    <row r="186" spans="3:4" ht="15.75" customHeight="1">
      <c r="C186" s="24"/>
      <c r="D186" s="24"/>
    </row>
    <row r="187" spans="3:4" ht="15.75" customHeight="1">
      <c r="C187" s="24"/>
      <c r="D187" s="24"/>
    </row>
    <row r="188" spans="3:4" ht="15.75" customHeight="1">
      <c r="C188" s="24"/>
      <c r="D188" s="24"/>
    </row>
    <row r="189" spans="3:4" ht="15.75" customHeight="1">
      <c r="C189" s="24"/>
      <c r="D189" s="24"/>
    </row>
    <row r="190" spans="3:4" ht="15.75" customHeight="1">
      <c r="C190" s="24"/>
      <c r="D190" s="24"/>
    </row>
    <row r="191" spans="3:4" ht="15.75" customHeight="1">
      <c r="C191" s="24"/>
      <c r="D191" s="24"/>
    </row>
    <row r="192" spans="3:4" ht="15.75" customHeight="1">
      <c r="C192" s="24"/>
      <c r="D192" s="24"/>
    </row>
    <row r="193" spans="3:4" ht="15.75" customHeight="1">
      <c r="C193" s="24"/>
      <c r="D193" s="24"/>
    </row>
    <row r="194" spans="3:4" ht="15.75" customHeight="1">
      <c r="C194" s="24"/>
      <c r="D194" s="24"/>
    </row>
    <row r="195" spans="3:4" ht="15.75" customHeight="1">
      <c r="C195" s="24"/>
      <c r="D195" s="24"/>
    </row>
    <row r="196" spans="3:4" ht="15.75" customHeight="1">
      <c r="C196" s="24"/>
      <c r="D196" s="24"/>
    </row>
    <row r="197" spans="3:4" ht="15.75" customHeight="1">
      <c r="C197" s="24"/>
      <c r="D197" s="24"/>
    </row>
    <row r="198" spans="3:4" ht="15.75" customHeight="1">
      <c r="C198" s="24"/>
      <c r="D198" s="24"/>
    </row>
    <row r="199" spans="3:4" ht="15.75" customHeight="1">
      <c r="C199" s="24"/>
      <c r="D199" s="24"/>
    </row>
    <row r="200" spans="3:4" ht="15.75" customHeight="1">
      <c r="C200" s="24"/>
      <c r="D200" s="24"/>
    </row>
    <row r="201" spans="3:4" ht="15.75" customHeight="1">
      <c r="C201" s="24"/>
      <c r="D201" s="24"/>
    </row>
    <row r="202" spans="3:4" ht="15.75" customHeight="1">
      <c r="C202" s="24"/>
      <c r="D202" s="24"/>
    </row>
    <row r="203" spans="3:4" ht="15.75" customHeight="1">
      <c r="C203" s="24"/>
      <c r="D203" s="24"/>
    </row>
    <row r="204" spans="3:4" ht="15.75" customHeight="1">
      <c r="C204" s="24"/>
      <c r="D204" s="24"/>
    </row>
    <row r="205" spans="3:4" ht="15.75" customHeight="1">
      <c r="C205" s="24"/>
      <c r="D205" s="24"/>
    </row>
    <row r="206" spans="3:4" ht="15.75" customHeight="1">
      <c r="C206" s="24"/>
      <c r="D206" s="24"/>
    </row>
    <row r="207" spans="3:4" ht="15.75" customHeight="1">
      <c r="C207" s="24"/>
      <c r="D207" s="24"/>
    </row>
    <row r="208" spans="3:4" ht="15.75" customHeight="1">
      <c r="C208" s="24"/>
      <c r="D208" s="24"/>
    </row>
    <row r="209" spans="3:4" ht="15.75" customHeight="1">
      <c r="C209" s="24"/>
      <c r="D209" s="24"/>
    </row>
    <row r="210" spans="3:4" ht="15.75" customHeight="1">
      <c r="C210" s="24"/>
      <c r="D210" s="24"/>
    </row>
    <row r="211" spans="3:4" ht="15.75" customHeight="1">
      <c r="C211" s="24"/>
      <c r="D211" s="24"/>
    </row>
    <row r="212" spans="3:4" ht="15.75" customHeight="1">
      <c r="C212" s="24"/>
      <c r="D212" s="24"/>
    </row>
    <row r="213" spans="3:4" ht="15.75" customHeight="1">
      <c r="C213" s="24"/>
      <c r="D213" s="24"/>
    </row>
    <row r="214" spans="3:4" ht="15.75" customHeight="1">
      <c r="C214" s="24"/>
      <c r="D214" s="24"/>
    </row>
    <row r="215" spans="3:4" ht="15.75" customHeight="1">
      <c r="C215" s="24"/>
      <c r="D215" s="24"/>
    </row>
    <row r="216" spans="3:4" ht="15.75" customHeight="1">
      <c r="C216" s="24"/>
      <c r="D216" s="24"/>
    </row>
    <row r="217" spans="3:4" ht="15.75" customHeight="1">
      <c r="C217" s="24"/>
      <c r="D217" s="24"/>
    </row>
    <row r="218" spans="3:4" ht="15.75" customHeight="1">
      <c r="C218" s="24"/>
      <c r="D218" s="24"/>
    </row>
    <row r="219" spans="3:4" ht="15.75" customHeight="1">
      <c r="C219" s="24"/>
      <c r="D219" s="24"/>
    </row>
    <row r="220" spans="3:4" ht="15.75" customHeight="1">
      <c r="C220" s="24"/>
      <c r="D220" s="24"/>
    </row>
    <row r="221" spans="3:4" ht="15.75" customHeight="1">
      <c r="C221" s="24"/>
      <c r="D221" s="24"/>
    </row>
    <row r="222" spans="3:4" ht="15.75" customHeight="1">
      <c r="C222" s="24"/>
      <c r="D222" s="24"/>
    </row>
    <row r="223" spans="3:4" ht="15.75" customHeight="1">
      <c r="C223" s="24"/>
      <c r="D223" s="24"/>
    </row>
    <row r="224" spans="3:4" ht="15.75" customHeight="1">
      <c r="C224" s="24"/>
      <c r="D224" s="24"/>
    </row>
    <row r="225" spans="3:4" ht="15.75" customHeight="1">
      <c r="C225" s="24"/>
      <c r="D225" s="24"/>
    </row>
    <row r="226" spans="3:4" ht="15.75" customHeight="1">
      <c r="C226" s="24"/>
      <c r="D226" s="24"/>
    </row>
    <row r="227" spans="3:4" ht="15.75" customHeight="1">
      <c r="C227" s="24"/>
      <c r="D227" s="24"/>
    </row>
    <row r="228" spans="3:4" ht="15.75" customHeight="1">
      <c r="C228" s="24"/>
      <c r="D228" s="24"/>
    </row>
    <row r="229" spans="3:4" ht="15.75" customHeight="1">
      <c r="C229" s="24"/>
      <c r="D229" s="24"/>
    </row>
    <row r="230" spans="3:4" ht="15.75" customHeight="1">
      <c r="C230" s="24"/>
      <c r="D230" s="24"/>
    </row>
    <row r="231" spans="3:4" ht="15.75" customHeight="1">
      <c r="C231" s="24"/>
      <c r="D231" s="24"/>
    </row>
    <row r="232" spans="3:4" ht="15.75" customHeight="1">
      <c r="C232" s="24"/>
      <c r="D232" s="24"/>
    </row>
    <row r="233" spans="3:4" ht="15.75" customHeight="1">
      <c r="C233" s="24"/>
      <c r="D233" s="24"/>
    </row>
    <row r="234" spans="3:4" ht="15.75" customHeight="1">
      <c r="C234" s="24"/>
      <c r="D234" s="24"/>
    </row>
    <row r="235" spans="3:4" ht="15.75" customHeight="1">
      <c r="C235" s="24"/>
      <c r="D235" s="24"/>
    </row>
    <row r="236" spans="3:4" ht="15.75" customHeight="1">
      <c r="C236" s="24"/>
      <c r="D236" s="24"/>
    </row>
    <row r="237" spans="3:4" ht="15.75" customHeight="1">
      <c r="C237" s="24"/>
      <c r="D237" s="24"/>
    </row>
    <row r="238" spans="3:4" ht="15.75" customHeight="1">
      <c r="C238" s="24"/>
      <c r="D238" s="24"/>
    </row>
    <row r="239" spans="3:4" ht="15.75" customHeight="1">
      <c r="C239" s="24"/>
      <c r="D239" s="24"/>
    </row>
    <row r="240" spans="3:4" ht="15.75" customHeight="1">
      <c r="C240" s="24"/>
      <c r="D240" s="24"/>
    </row>
    <row r="241" spans="3:4" ht="15.75" customHeight="1">
      <c r="C241" s="24"/>
      <c r="D241" s="24"/>
    </row>
    <row r="242" spans="3:4" ht="14.25" customHeight="1"/>
    <row r="243" spans="3:4" ht="14.25" customHeight="1"/>
    <row r="244" spans="3:4" ht="14.25" customHeight="1"/>
    <row r="245" spans="3:4" ht="14.25" customHeight="1"/>
    <row r="246" spans="3:4" ht="14.25" customHeight="1"/>
    <row r="247" spans="3:4" ht="14.25" customHeight="1"/>
    <row r="248" spans="3:4" ht="14.25" customHeight="1"/>
    <row r="249" spans="3:4" ht="14.25" customHeight="1"/>
    <row r="250" spans="3:4" ht="14.25" customHeight="1"/>
    <row r="251" spans="3:4" ht="14.25" customHeight="1"/>
    <row r="252" spans="3:4" ht="14.25" customHeight="1"/>
    <row r="253" spans="3:4" ht="14.25" customHeight="1"/>
    <row r="254" spans="3:4" ht="14.25" customHeight="1"/>
    <row r="255" spans="3:4" ht="14.25" customHeight="1"/>
    <row r="256" spans="3:4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S1000"/>
  <sheetViews>
    <sheetView workbookViewId="0"/>
  </sheetViews>
  <sheetFormatPr defaultColWidth="12.6640625" defaultRowHeight="15" customHeight="1"/>
  <cols>
    <col min="1" max="1" width="36" customWidth="1"/>
    <col min="2" max="2" width="19.44140625" customWidth="1"/>
    <col min="3" max="3" width="20.44140625" customWidth="1"/>
    <col min="4" max="4" width="18.21875" customWidth="1"/>
    <col min="5" max="5" width="17.21875" customWidth="1"/>
    <col min="6" max="6" width="15.33203125" customWidth="1"/>
    <col min="7" max="7" width="27.21875" customWidth="1"/>
    <col min="8" max="8" width="82.44140625" customWidth="1"/>
    <col min="9" max="14" width="8.44140625" customWidth="1"/>
    <col min="15" max="26" width="12.44140625" customWidth="1"/>
  </cols>
  <sheetData>
    <row r="1" spans="1:19" ht="14.25" customHeight="1">
      <c r="A1" s="1" t="s">
        <v>105</v>
      </c>
    </row>
    <row r="2" spans="1:19" ht="14.25" customHeight="1">
      <c r="A2" s="1" t="s">
        <v>2</v>
      </c>
    </row>
    <row r="3" spans="1:19" ht="14.25" customHeight="1"/>
    <row r="4" spans="1:19" ht="14.25" customHeight="1">
      <c r="A4" s="4" t="s">
        <v>3</v>
      </c>
      <c r="B4" s="5" t="s">
        <v>4</v>
      </c>
      <c r="C4" s="4" t="s">
        <v>5</v>
      </c>
      <c r="D4" s="4" t="s">
        <v>6</v>
      </c>
      <c r="E4" s="5" t="s">
        <v>7</v>
      </c>
      <c r="F4" s="6" t="s">
        <v>8</v>
      </c>
      <c r="G4" s="6" t="s">
        <v>9</v>
      </c>
      <c r="H4" s="7" t="s">
        <v>10</v>
      </c>
    </row>
    <row r="5" spans="1:19" ht="14.25" customHeight="1">
      <c r="A5" s="8" t="s">
        <v>11</v>
      </c>
      <c r="B5" s="9"/>
      <c r="C5" s="10"/>
      <c r="D5" s="10"/>
      <c r="E5" s="9"/>
      <c r="F5" s="11"/>
      <c r="G5" s="11"/>
      <c r="H5" s="11"/>
      <c r="L5" s="35" t="s">
        <v>106</v>
      </c>
      <c r="M5" s="35" t="s">
        <v>107</v>
      </c>
      <c r="N5" s="35" t="s">
        <v>108</v>
      </c>
      <c r="O5" s="35">
        <v>1000</v>
      </c>
    </row>
    <row r="6" spans="1:19" ht="14.25" customHeight="1">
      <c r="A6" s="17" t="s">
        <v>13</v>
      </c>
      <c r="B6" s="18" t="s">
        <v>14</v>
      </c>
      <c r="C6" s="18" t="s">
        <v>15</v>
      </c>
      <c r="D6" s="19" t="s">
        <v>16</v>
      </c>
      <c r="E6" s="20">
        <v>276.2</v>
      </c>
      <c r="F6" s="17">
        <v>4</v>
      </c>
      <c r="G6" s="20">
        <f t="shared" ref="G6:G19" si="0">SUM(F6*E6)</f>
        <v>1104.8</v>
      </c>
      <c r="H6" s="21"/>
      <c r="K6" s="36" t="s">
        <v>13</v>
      </c>
      <c r="L6" s="17">
        <v>6</v>
      </c>
      <c r="M6" s="35">
        <v>7</v>
      </c>
      <c r="N6" s="35">
        <f t="shared" ref="N6:N19" si="1">SUM(M6-F6)</f>
        <v>3</v>
      </c>
      <c r="O6" s="35">
        <v>4</v>
      </c>
      <c r="R6" s="36" t="s">
        <v>64</v>
      </c>
      <c r="S6" s="35">
        <v>15</v>
      </c>
    </row>
    <row r="7" spans="1:19" ht="15.75" customHeight="1">
      <c r="A7" s="17" t="s">
        <v>17</v>
      </c>
      <c r="B7" s="18" t="s">
        <v>18</v>
      </c>
      <c r="C7" s="18" t="s">
        <v>19</v>
      </c>
      <c r="D7" s="19" t="s">
        <v>20</v>
      </c>
      <c r="E7" s="20">
        <v>120</v>
      </c>
      <c r="F7" s="17">
        <v>1</v>
      </c>
      <c r="G7" s="20">
        <f t="shared" si="0"/>
        <v>120</v>
      </c>
      <c r="H7" s="17"/>
      <c r="K7" s="36" t="s">
        <v>109</v>
      </c>
      <c r="L7" s="17">
        <v>1</v>
      </c>
      <c r="M7" s="35">
        <v>1</v>
      </c>
      <c r="N7" s="35">
        <f t="shared" si="1"/>
        <v>0</v>
      </c>
      <c r="O7" s="35">
        <v>1</v>
      </c>
      <c r="R7" s="36" t="s">
        <v>68</v>
      </c>
      <c r="S7" s="35">
        <v>16</v>
      </c>
    </row>
    <row r="8" spans="1:19" ht="14.25" customHeight="1">
      <c r="A8" s="17" t="s">
        <v>21</v>
      </c>
      <c r="B8" s="18" t="s">
        <v>22</v>
      </c>
      <c r="C8" s="18" t="s">
        <v>23</v>
      </c>
      <c r="D8" s="19" t="s">
        <v>24</v>
      </c>
      <c r="E8" s="20">
        <v>1485.2</v>
      </c>
      <c r="F8" s="17">
        <v>1</v>
      </c>
      <c r="G8" s="20">
        <f t="shared" si="0"/>
        <v>1485.2</v>
      </c>
      <c r="H8" s="17" t="s">
        <v>25</v>
      </c>
      <c r="K8" s="36" t="s">
        <v>21</v>
      </c>
      <c r="L8" s="17">
        <v>1</v>
      </c>
      <c r="M8" s="35">
        <v>1</v>
      </c>
      <c r="N8" s="35">
        <f t="shared" si="1"/>
        <v>0</v>
      </c>
      <c r="O8" s="35">
        <v>1</v>
      </c>
      <c r="R8" s="36" t="s">
        <v>70</v>
      </c>
      <c r="S8" s="35">
        <v>17</v>
      </c>
    </row>
    <row r="9" spans="1:19" ht="14.25" customHeight="1">
      <c r="A9" s="17" t="s">
        <v>26</v>
      </c>
      <c r="B9" s="18" t="s">
        <v>27</v>
      </c>
      <c r="C9" s="18" t="s">
        <v>28</v>
      </c>
      <c r="D9" s="19" t="s">
        <v>29</v>
      </c>
      <c r="E9" s="20">
        <v>385.94</v>
      </c>
      <c r="F9" s="17">
        <v>3</v>
      </c>
      <c r="G9" s="20">
        <f t="shared" si="0"/>
        <v>1157.82</v>
      </c>
      <c r="H9" s="17"/>
      <c r="K9" s="36" t="s">
        <v>26</v>
      </c>
      <c r="L9" s="17">
        <v>5</v>
      </c>
      <c r="M9" s="35">
        <v>5</v>
      </c>
      <c r="N9" s="35">
        <f t="shared" si="1"/>
        <v>2</v>
      </c>
      <c r="O9" s="35">
        <v>3</v>
      </c>
      <c r="R9" s="36" t="s">
        <v>30</v>
      </c>
      <c r="S9" s="35">
        <v>5</v>
      </c>
    </row>
    <row r="10" spans="1:19" ht="15.75" customHeight="1">
      <c r="A10" s="17" t="s">
        <v>30</v>
      </c>
      <c r="B10" s="18" t="s">
        <v>27</v>
      </c>
      <c r="C10" s="18">
        <v>16500500</v>
      </c>
      <c r="D10" s="19" t="s">
        <v>31</v>
      </c>
      <c r="E10" s="20">
        <v>675</v>
      </c>
      <c r="F10" s="17">
        <v>1</v>
      </c>
      <c r="G10" s="20">
        <f t="shared" si="0"/>
        <v>675</v>
      </c>
      <c r="H10" s="17"/>
      <c r="K10" s="36" t="s">
        <v>30</v>
      </c>
      <c r="L10" s="17">
        <v>1</v>
      </c>
      <c r="M10" s="35">
        <v>1</v>
      </c>
      <c r="N10" s="35">
        <f t="shared" si="1"/>
        <v>0</v>
      </c>
      <c r="O10" s="35">
        <v>1</v>
      </c>
      <c r="R10" s="36" t="s">
        <v>21</v>
      </c>
      <c r="S10" s="35">
        <v>3</v>
      </c>
    </row>
    <row r="11" spans="1:19" ht="14.25" customHeight="1">
      <c r="A11" s="17" t="s">
        <v>32</v>
      </c>
      <c r="B11" s="18" t="s">
        <v>27</v>
      </c>
      <c r="C11" s="18" t="s">
        <v>33</v>
      </c>
      <c r="D11" s="19" t="s">
        <v>34</v>
      </c>
      <c r="E11" s="20">
        <v>64.989999999999995</v>
      </c>
      <c r="F11" s="17">
        <v>1</v>
      </c>
      <c r="G11" s="20">
        <f t="shared" si="0"/>
        <v>64.989999999999995</v>
      </c>
      <c r="H11" s="17"/>
      <c r="K11" s="36" t="s">
        <v>32</v>
      </c>
      <c r="L11" s="17">
        <v>2</v>
      </c>
      <c r="M11" s="35">
        <v>2</v>
      </c>
      <c r="N11" s="35">
        <f t="shared" si="1"/>
        <v>1</v>
      </c>
      <c r="O11" s="35">
        <v>1</v>
      </c>
      <c r="R11" s="36" t="s">
        <v>32</v>
      </c>
      <c r="S11" s="35">
        <v>6</v>
      </c>
    </row>
    <row r="12" spans="1:19" ht="14.25" customHeight="1">
      <c r="A12" s="17" t="s">
        <v>35</v>
      </c>
      <c r="B12" s="18" t="s">
        <v>36</v>
      </c>
      <c r="C12" s="18" t="s">
        <v>37</v>
      </c>
      <c r="D12" s="19" t="s">
        <v>38</v>
      </c>
      <c r="E12" s="20">
        <v>58.86</v>
      </c>
      <c r="F12" s="17">
        <v>1</v>
      </c>
      <c r="G12" s="20">
        <f t="shared" si="0"/>
        <v>58.86</v>
      </c>
      <c r="H12" s="17"/>
      <c r="J12" s="22"/>
      <c r="K12" s="36" t="s">
        <v>35</v>
      </c>
      <c r="L12" s="17">
        <v>1</v>
      </c>
      <c r="M12" s="35">
        <v>1</v>
      </c>
      <c r="N12" s="35">
        <f t="shared" si="1"/>
        <v>0</v>
      </c>
      <c r="O12" s="35">
        <v>1</v>
      </c>
      <c r="R12" s="36" t="s">
        <v>52</v>
      </c>
      <c r="S12" s="35">
        <v>12</v>
      </c>
    </row>
    <row r="13" spans="1:19" ht="14.25" customHeight="1">
      <c r="A13" s="17" t="s">
        <v>39</v>
      </c>
      <c r="B13" s="18" t="s">
        <v>40</v>
      </c>
      <c r="C13" s="18" t="s">
        <v>41</v>
      </c>
      <c r="D13" s="19" t="s">
        <v>42</v>
      </c>
      <c r="E13" s="20">
        <v>1301</v>
      </c>
      <c r="F13" s="17">
        <v>2</v>
      </c>
      <c r="G13" s="20">
        <f t="shared" si="0"/>
        <v>2602</v>
      </c>
      <c r="H13" s="17"/>
      <c r="K13" s="36" t="s">
        <v>39</v>
      </c>
      <c r="L13" s="17">
        <v>4</v>
      </c>
      <c r="M13" s="35">
        <v>4</v>
      </c>
      <c r="N13" s="35">
        <f t="shared" si="1"/>
        <v>2</v>
      </c>
      <c r="O13" s="35">
        <v>2</v>
      </c>
      <c r="R13" s="36" t="s">
        <v>43</v>
      </c>
      <c r="S13" s="35">
        <v>9</v>
      </c>
    </row>
    <row r="14" spans="1:19" ht="14.25" customHeight="1">
      <c r="A14" s="17" t="s">
        <v>43</v>
      </c>
      <c r="B14" s="18" t="s">
        <v>40</v>
      </c>
      <c r="C14" s="18" t="s">
        <v>44</v>
      </c>
      <c r="D14" s="19" t="s">
        <v>45</v>
      </c>
      <c r="E14" s="20">
        <v>41.4</v>
      </c>
      <c r="F14" s="17">
        <v>2</v>
      </c>
      <c r="G14" s="20">
        <f t="shared" si="0"/>
        <v>82.8</v>
      </c>
      <c r="H14" s="17"/>
      <c r="K14" s="36" t="s">
        <v>43</v>
      </c>
      <c r="L14" s="17">
        <v>4</v>
      </c>
      <c r="M14" s="35">
        <v>4</v>
      </c>
      <c r="N14" s="35">
        <f t="shared" si="1"/>
        <v>2</v>
      </c>
      <c r="O14" s="35">
        <v>2</v>
      </c>
      <c r="R14" s="36" t="s">
        <v>110</v>
      </c>
      <c r="S14" s="35">
        <v>10</v>
      </c>
    </row>
    <row r="15" spans="1:19" ht="15.75" customHeight="1">
      <c r="A15" s="17" t="s">
        <v>46</v>
      </c>
      <c r="B15" s="18" t="s">
        <v>40</v>
      </c>
      <c r="C15" s="18" t="s">
        <v>47</v>
      </c>
      <c r="D15" s="19" t="s">
        <v>48</v>
      </c>
      <c r="E15" s="20">
        <v>147.86000000000001</v>
      </c>
      <c r="F15" s="17">
        <v>2</v>
      </c>
      <c r="G15" s="20">
        <f t="shared" si="0"/>
        <v>295.72000000000003</v>
      </c>
      <c r="H15" s="17"/>
      <c r="K15" s="36" t="s">
        <v>110</v>
      </c>
      <c r="L15" s="17">
        <v>4</v>
      </c>
      <c r="M15" s="35">
        <v>4</v>
      </c>
      <c r="N15" s="35">
        <f t="shared" si="1"/>
        <v>2</v>
      </c>
      <c r="O15" s="35">
        <v>2</v>
      </c>
      <c r="R15" s="36" t="s">
        <v>35</v>
      </c>
      <c r="S15" s="35">
        <v>7</v>
      </c>
    </row>
    <row r="16" spans="1:19" ht="14.25" customHeight="1">
      <c r="A16" s="17" t="s">
        <v>49</v>
      </c>
      <c r="B16" s="18" t="s">
        <v>40</v>
      </c>
      <c r="C16" s="18" t="s">
        <v>50</v>
      </c>
      <c r="D16" s="19" t="s">
        <v>51</v>
      </c>
      <c r="E16" s="20">
        <v>600</v>
      </c>
      <c r="F16" s="17">
        <v>12</v>
      </c>
      <c r="G16" s="20">
        <f t="shared" si="0"/>
        <v>7200</v>
      </c>
      <c r="H16" s="17"/>
      <c r="J16" s="22"/>
      <c r="K16" s="36" t="s">
        <v>49</v>
      </c>
      <c r="L16" s="17">
        <v>21</v>
      </c>
      <c r="M16" s="35">
        <v>23</v>
      </c>
      <c r="N16" s="35">
        <f t="shared" si="1"/>
        <v>11</v>
      </c>
      <c r="O16" s="35">
        <v>12</v>
      </c>
      <c r="R16" s="36" t="s">
        <v>111</v>
      </c>
      <c r="S16" s="35">
        <v>18</v>
      </c>
    </row>
    <row r="17" spans="1:19" ht="14.25" customHeight="1">
      <c r="A17" s="17" t="s">
        <v>52</v>
      </c>
      <c r="B17" s="18" t="s">
        <v>53</v>
      </c>
      <c r="C17" s="18" t="s">
        <v>54</v>
      </c>
      <c r="D17" s="19" t="s">
        <v>55</v>
      </c>
      <c r="E17" s="20">
        <v>42.61</v>
      </c>
      <c r="F17" s="17">
        <v>2</v>
      </c>
      <c r="G17" s="20">
        <f t="shared" si="0"/>
        <v>85.22</v>
      </c>
      <c r="H17" s="17"/>
      <c r="K17" s="36" t="s">
        <v>52</v>
      </c>
      <c r="L17" s="17">
        <v>2</v>
      </c>
      <c r="M17" s="35">
        <v>3</v>
      </c>
      <c r="N17" s="35">
        <f t="shared" si="1"/>
        <v>1</v>
      </c>
      <c r="O17" s="35">
        <v>2</v>
      </c>
      <c r="R17" s="36" t="s">
        <v>112</v>
      </c>
      <c r="S17" s="35">
        <v>18</v>
      </c>
    </row>
    <row r="18" spans="1:19" ht="14.25" customHeight="1">
      <c r="A18" s="17" t="s">
        <v>56</v>
      </c>
      <c r="B18" s="18" t="s">
        <v>57</v>
      </c>
      <c r="C18" s="18" t="s">
        <v>58</v>
      </c>
      <c r="D18" s="19" t="s">
        <v>55</v>
      </c>
      <c r="E18" s="20">
        <v>155.19</v>
      </c>
      <c r="F18" s="17">
        <v>1</v>
      </c>
      <c r="G18" s="20">
        <f t="shared" si="0"/>
        <v>155.19</v>
      </c>
      <c r="H18" s="17"/>
      <c r="K18" s="36" t="s">
        <v>56</v>
      </c>
      <c r="L18" s="17">
        <v>1</v>
      </c>
      <c r="M18" s="35">
        <v>1</v>
      </c>
      <c r="N18" s="35">
        <f t="shared" si="1"/>
        <v>0</v>
      </c>
      <c r="O18" s="35">
        <v>1</v>
      </c>
      <c r="R18" s="36" t="s">
        <v>113</v>
      </c>
      <c r="S18" s="35">
        <v>18</v>
      </c>
    </row>
    <row r="19" spans="1:19" ht="14.25" customHeight="1">
      <c r="A19" s="17" t="s">
        <v>59</v>
      </c>
      <c r="B19" s="18" t="s">
        <v>27</v>
      </c>
      <c r="C19" s="18" t="s">
        <v>60</v>
      </c>
      <c r="D19" s="19" t="s">
        <v>55</v>
      </c>
      <c r="E19" s="20">
        <v>120</v>
      </c>
      <c r="F19" s="17">
        <v>1</v>
      </c>
      <c r="G19" s="20">
        <f t="shared" si="0"/>
        <v>120</v>
      </c>
      <c r="H19" s="17"/>
      <c r="K19" s="36" t="s">
        <v>59</v>
      </c>
      <c r="L19" s="17">
        <v>1</v>
      </c>
      <c r="M19" s="35">
        <v>1</v>
      </c>
      <c r="N19" s="35">
        <f t="shared" si="1"/>
        <v>0</v>
      </c>
      <c r="O19" s="35">
        <v>1</v>
      </c>
      <c r="R19" s="36" t="s">
        <v>13</v>
      </c>
      <c r="S19" s="35">
        <v>1</v>
      </c>
    </row>
    <row r="20" spans="1:19" ht="14.25" customHeight="1">
      <c r="B20" s="23"/>
      <c r="C20" s="23"/>
      <c r="D20" s="24"/>
      <c r="F20" s="25" t="s">
        <v>61</v>
      </c>
      <c r="G20" s="26">
        <f>SUM(G6:G19)</f>
        <v>15207.599999999999</v>
      </c>
      <c r="H20" s="22"/>
      <c r="K20" s="36"/>
      <c r="L20" s="36"/>
      <c r="R20" s="36" t="s">
        <v>49</v>
      </c>
      <c r="S20" s="35">
        <v>11</v>
      </c>
    </row>
    <row r="21" spans="1:19" ht="14.25" customHeight="1">
      <c r="B21" s="23"/>
      <c r="C21" s="23"/>
      <c r="D21" s="24"/>
      <c r="F21" s="25" t="s">
        <v>62</v>
      </c>
      <c r="G21" s="26">
        <f>G20/2000</f>
        <v>7.6037999999999997</v>
      </c>
      <c r="K21" s="36"/>
      <c r="L21" s="36"/>
      <c r="R21" s="36" t="s">
        <v>56</v>
      </c>
      <c r="S21" s="35">
        <v>13</v>
      </c>
    </row>
    <row r="22" spans="1:19" ht="14.25" customHeight="1">
      <c r="A22" s="8" t="s">
        <v>63</v>
      </c>
      <c r="B22" s="9"/>
      <c r="C22" s="10"/>
      <c r="D22" s="10"/>
      <c r="E22" s="9"/>
      <c r="F22" s="11"/>
      <c r="G22" s="11"/>
      <c r="H22" s="11"/>
      <c r="K22" s="36"/>
      <c r="L22" s="36"/>
      <c r="R22" s="36" t="s">
        <v>109</v>
      </c>
      <c r="S22" s="35">
        <v>2</v>
      </c>
    </row>
    <row r="23" spans="1:19" ht="14.25" customHeight="1">
      <c r="A23" s="17" t="s">
        <v>64</v>
      </c>
      <c r="B23" s="18" t="s">
        <v>65</v>
      </c>
      <c r="C23" s="18" t="s">
        <v>66</v>
      </c>
      <c r="D23" s="19" t="s">
        <v>67</v>
      </c>
      <c r="E23" s="20">
        <v>22.21</v>
      </c>
      <c r="F23" s="17">
        <v>1</v>
      </c>
      <c r="G23" s="20">
        <f t="shared" ref="G23:G34" si="2">SUM(F23*E23)</f>
        <v>22.21</v>
      </c>
      <c r="H23" s="17"/>
      <c r="K23" s="36" t="s">
        <v>64</v>
      </c>
      <c r="L23" s="17">
        <v>1</v>
      </c>
      <c r="M23" s="35">
        <v>1</v>
      </c>
      <c r="N23" s="35">
        <f t="shared" ref="N23:N34" si="3">SUM(M23-F23)</f>
        <v>0</v>
      </c>
      <c r="O23" s="35">
        <v>1</v>
      </c>
      <c r="R23" s="36" t="s">
        <v>77</v>
      </c>
      <c r="S23" s="35">
        <v>19</v>
      </c>
    </row>
    <row r="24" spans="1:19" ht="14.25" customHeight="1">
      <c r="A24" s="17" t="s">
        <v>68</v>
      </c>
      <c r="B24" s="18" t="s">
        <v>27</v>
      </c>
      <c r="C24" s="18">
        <v>10125707</v>
      </c>
      <c r="D24" s="19" t="s">
        <v>69</v>
      </c>
      <c r="E24" s="20">
        <v>91.43</v>
      </c>
      <c r="F24" s="17">
        <v>1</v>
      </c>
      <c r="G24" s="20">
        <f t="shared" si="2"/>
        <v>91.43</v>
      </c>
      <c r="H24" s="17"/>
      <c r="I24" s="27"/>
      <c r="K24" s="36" t="s">
        <v>68</v>
      </c>
      <c r="L24" s="17">
        <v>1</v>
      </c>
      <c r="M24" s="35">
        <v>1</v>
      </c>
      <c r="N24" s="35">
        <f t="shared" si="3"/>
        <v>0</v>
      </c>
      <c r="O24" s="35">
        <v>1</v>
      </c>
      <c r="R24" s="36" t="s">
        <v>80</v>
      </c>
      <c r="S24" s="35">
        <v>20</v>
      </c>
    </row>
    <row r="25" spans="1:19" ht="15.75" customHeight="1">
      <c r="A25" s="17" t="s">
        <v>70</v>
      </c>
      <c r="B25" s="18" t="s">
        <v>71</v>
      </c>
      <c r="C25" s="18">
        <v>676001</v>
      </c>
      <c r="D25" s="19" t="s">
        <v>72</v>
      </c>
      <c r="E25" s="20">
        <v>88.88</v>
      </c>
      <c r="F25" s="17">
        <v>1</v>
      </c>
      <c r="G25" s="20">
        <f t="shared" si="2"/>
        <v>88.88</v>
      </c>
      <c r="H25" s="17"/>
      <c r="K25" s="36" t="s">
        <v>70</v>
      </c>
      <c r="L25" s="17">
        <v>2</v>
      </c>
      <c r="M25" s="35">
        <v>2</v>
      </c>
      <c r="N25" s="35">
        <f t="shared" si="3"/>
        <v>1</v>
      </c>
      <c r="O25" s="35">
        <v>1</v>
      </c>
      <c r="R25" s="36" t="s">
        <v>26</v>
      </c>
      <c r="S25" s="35">
        <v>4</v>
      </c>
    </row>
    <row r="26" spans="1:19" ht="15.75" customHeight="1">
      <c r="A26" s="17" t="s">
        <v>73</v>
      </c>
      <c r="B26" s="18" t="s">
        <v>74</v>
      </c>
      <c r="C26" s="18" t="s">
        <v>75</v>
      </c>
      <c r="D26" s="19" t="s">
        <v>76</v>
      </c>
      <c r="E26" s="20">
        <v>88.01</v>
      </c>
      <c r="F26" s="17">
        <v>3</v>
      </c>
      <c r="G26" s="20">
        <f t="shared" si="2"/>
        <v>264.03000000000003</v>
      </c>
      <c r="H26" s="17"/>
      <c r="K26" s="36" t="s">
        <v>111</v>
      </c>
      <c r="L26" s="17">
        <v>3</v>
      </c>
      <c r="M26" s="35">
        <v>3</v>
      </c>
      <c r="N26" s="35">
        <f t="shared" si="3"/>
        <v>0</v>
      </c>
      <c r="O26" s="35">
        <v>3</v>
      </c>
      <c r="R26" s="36" t="s">
        <v>83</v>
      </c>
      <c r="S26" s="35">
        <v>21</v>
      </c>
    </row>
    <row r="27" spans="1:19" ht="15.75" customHeight="1">
      <c r="A27" s="17" t="s">
        <v>77</v>
      </c>
      <c r="B27" s="18" t="s">
        <v>27</v>
      </c>
      <c r="C27" s="18" t="s">
        <v>78</v>
      </c>
      <c r="D27" s="19" t="s">
        <v>79</v>
      </c>
      <c r="E27" s="20">
        <v>298.26</v>
      </c>
      <c r="F27" s="17">
        <v>1</v>
      </c>
      <c r="G27" s="20">
        <f t="shared" si="2"/>
        <v>298.26</v>
      </c>
      <c r="H27" s="17"/>
      <c r="K27" s="36" t="s">
        <v>77</v>
      </c>
      <c r="L27" s="17">
        <v>1</v>
      </c>
      <c r="M27" s="35">
        <v>1</v>
      </c>
      <c r="N27" s="35">
        <f t="shared" si="3"/>
        <v>0</v>
      </c>
      <c r="O27" s="35">
        <v>1</v>
      </c>
      <c r="R27" s="36" t="s">
        <v>39</v>
      </c>
      <c r="S27" s="35">
        <v>8</v>
      </c>
    </row>
    <row r="28" spans="1:19" ht="15.75" customHeight="1">
      <c r="A28" s="17" t="s">
        <v>80</v>
      </c>
      <c r="B28" s="18" t="s">
        <v>27</v>
      </c>
      <c r="C28" s="18" t="s">
        <v>81</v>
      </c>
      <c r="D28" s="19" t="s">
        <v>82</v>
      </c>
      <c r="E28" s="20">
        <v>130</v>
      </c>
      <c r="F28" s="17">
        <v>4</v>
      </c>
      <c r="G28" s="20">
        <f t="shared" si="2"/>
        <v>520</v>
      </c>
      <c r="H28" s="28" t="s">
        <v>114</v>
      </c>
      <c r="K28" s="36" t="s">
        <v>80</v>
      </c>
      <c r="L28" s="17">
        <v>7</v>
      </c>
      <c r="M28" s="35">
        <v>8</v>
      </c>
      <c r="N28" s="35">
        <f t="shared" si="3"/>
        <v>4</v>
      </c>
      <c r="O28" s="35">
        <v>4</v>
      </c>
      <c r="R28" s="36" t="s">
        <v>86</v>
      </c>
      <c r="S28" s="35">
        <v>22</v>
      </c>
    </row>
    <row r="29" spans="1:19" ht="15.75" customHeight="1">
      <c r="A29" s="17" t="s">
        <v>83</v>
      </c>
      <c r="B29" s="18" t="s">
        <v>57</v>
      </c>
      <c r="C29" s="18" t="s">
        <v>84</v>
      </c>
      <c r="D29" s="19" t="s">
        <v>85</v>
      </c>
      <c r="E29" s="20">
        <v>74.55</v>
      </c>
      <c r="F29" s="17">
        <v>3</v>
      </c>
      <c r="G29" s="20">
        <f t="shared" si="2"/>
        <v>223.64999999999998</v>
      </c>
      <c r="H29" s="17"/>
      <c r="K29" s="36" t="s">
        <v>83</v>
      </c>
      <c r="L29" s="17">
        <v>5</v>
      </c>
      <c r="M29" s="35">
        <v>5</v>
      </c>
      <c r="N29" s="35">
        <f t="shared" si="3"/>
        <v>2</v>
      </c>
      <c r="O29" s="35">
        <v>3</v>
      </c>
      <c r="R29" s="36" t="s">
        <v>59</v>
      </c>
      <c r="S29" s="35">
        <v>14</v>
      </c>
    </row>
    <row r="30" spans="1:19" ht="15.75" customHeight="1">
      <c r="A30" s="17" t="s">
        <v>86</v>
      </c>
      <c r="B30" s="18" t="s">
        <v>87</v>
      </c>
      <c r="C30" s="18" t="s">
        <v>88</v>
      </c>
      <c r="D30" s="19" t="s">
        <v>89</v>
      </c>
      <c r="E30" s="20">
        <v>40</v>
      </c>
      <c r="F30" s="17">
        <v>1</v>
      </c>
      <c r="G30" s="20">
        <f t="shared" si="2"/>
        <v>40</v>
      </c>
      <c r="H30" s="17"/>
      <c r="J30" s="27"/>
      <c r="K30" s="36" t="s">
        <v>86</v>
      </c>
      <c r="L30" s="17">
        <v>1</v>
      </c>
      <c r="M30" s="35">
        <v>1</v>
      </c>
      <c r="N30" s="35">
        <f t="shared" si="3"/>
        <v>0</v>
      </c>
      <c r="O30" s="35">
        <v>1</v>
      </c>
      <c r="R30" s="36" t="s">
        <v>115</v>
      </c>
      <c r="S30" s="35">
        <v>23</v>
      </c>
    </row>
    <row r="31" spans="1:19" ht="15.75" customHeight="1">
      <c r="A31" s="17" t="s">
        <v>90</v>
      </c>
      <c r="B31" s="18" t="s">
        <v>91</v>
      </c>
      <c r="C31" s="18" t="s">
        <v>91</v>
      </c>
      <c r="D31" s="19" t="s">
        <v>92</v>
      </c>
      <c r="E31" s="20">
        <v>396.29</v>
      </c>
      <c r="F31" s="17">
        <v>1</v>
      </c>
      <c r="G31" s="20">
        <f t="shared" si="2"/>
        <v>396.29</v>
      </c>
      <c r="H31" s="28" t="s">
        <v>93</v>
      </c>
      <c r="K31" s="36" t="s">
        <v>115</v>
      </c>
      <c r="L31" s="17">
        <v>1</v>
      </c>
      <c r="M31" s="35">
        <v>1</v>
      </c>
      <c r="N31" s="35">
        <f t="shared" si="3"/>
        <v>0</v>
      </c>
      <c r="O31" s="35">
        <v>1</v>
      </c>
      <c r="R31" s="36" t="s">
        <v>116</v>
      </c>
      <c r="S31" s="35">
        <v>25</v>
      </c>
    </row>
    <row r="32" spans="1:19" ht="15.75" customHeight="1">
      <c r="A32" s="17" t="s">
        <v>94</v>
      </c>
      <c r="B32" s="18" t="s">
        <v>91</v>
      </c>
      <c r="C32" s="18" t="s">
        <v>91</v>
      </c>
      <c r="D32" s="19" t="s">
        <v>95</v>
      </c>
      <c r="E32" s="20">
        <v>100</v>
      </c>
      <c r="F32" s="17">
        <v>14</v>
      </c>
      <c r="G32" s="20">
        <f t="shared" si="2"/>
        <v>1400</v>
      </c>
      <c r="H32" s="28" t="s">
        <v>93</v>
      </c>
      <c r="K32" s="36" t="s">
        <v>117</v>
      </c>
      <c r="L32" s="17">
        <v>31</v>
      </c>
      <c r="M32" s="35">
        <v>28</v>
      </c>
      <c r="N32" s="35">
        <f t="shared" si="3"/>
        <v>14</v>
      </c>
      <c r="O32" s="35">
        <v>14</v>
      </c>
      <c r="R32" s="36" t="s">
        <v>117</v>
      </c>
      <c r="S32" s="35">
        <v>24</v>
      </c>
    </row>
    <row r="33" spans="1:19" ht="15.75" customHeight="1">
      <c r="A33" s="17" t="s">
        <v>96</v>
      </c>
      <c r="B33" s="18" t="s">
        <v>91</v>
      </c>
      <c r="C33" s="18" t="s">
        <v>91</v>
      </c>
      <c r="D33" s="19" t="s">
        <v>95</v>
      </c>
      <c r="E33" s="20">
        <v>64.27</v>
      </c>
      <c r="F33" s="17">
        <v>8</v>
      </c>
      <c r="G33" s="20">
        <f t="shared" si="2"/>
        <v>514.16</v>
      </c>
      <c r="H33" s="28" t="s">
        <v>93</v>
      </c>
      <c r="K33" s="36" t="s">
        <v>116</v>
      </c>
      <c r="L33" s="17">
        <v>18</v>
      </c>
      <c r="M33" s="27">
        <v>15</v>
      </c>
      <c r="N33" s="35">
        <f t="shared" si="3"/>
        <v>7</v>
      </c>
      <c r="O33" s="35">
        <v>8</v>
      </c>
      <c r="R33" s="36" t="s">
        <v>118</v>
      </c>
      <c r="S33" s="35">
        <v>26</v>
      </c>
    </row>
    <row r="34" spans="1:19" ht="15.75" customHeight="1">
      <c r="A34" s="17" t="s">
        <v>97</v>
      </c>
      <c r="B34" s="18" t="s">
        <v>91</v>
      </c>
      <c r="C34" s="18" t="s">
        <v>91</v>
      </c>
      <c r="D34" s="19" t="s">
        <v>95</v>
      </c>
      <c r="E34" s="20">
        <v>83.6</v>
      </c>
      <c r="F34" s="17">
        <v>1</v>
      </c>
      <c r="G34" s="20">
        <f t="shared" si="2"/>
        <v>83.6</v>
      </c>
      <c r="H34" s="28" t="s">
        <v>93</v>
      </c>
      <c r="K34" s="36" t="s">
        <v>118</v>
      </c>
      <c r="L34" s="17">
        <v>4</v>
      </c>
      <c r="M34" s="35">
        <v>1</v>
      </c>
      <c r="N34" s="35">
        <f t="shared" si="3"/>
        <v>0</v>
      </c>
      <c r="O34" s="35">
        <v>1</v>
      </c>
    </row>
    <row r="35" spans="1:19" ht="15.75" customHeight="1">
      <c r="A35" s="29" t="s">
        <v>98</v>
      </c>
      <c r="B35" s="23"/>
      <c r="C35" s="23"/>
      <c r="D35" s="24"/>
      <c r="F35" s="25" t="s">
        <v>61</v>
      </c>
      <c r="G35" s="26">
        <f>SUM(G23:G34)</f>
        <v>3942.5099999999998</v>
      </c>
      <c r="H35" s="30"/>
      <c r="L35" s="35">
        <v>32141.379999999997</v>
      </c>
      <c r="M35" s="35">
        <v>33046.58</v>
      </c>
    </row>
    <row r="36" spans="1:19" ht="15.75" customHeight="1">
      <c r="A36" s="27" t="s">
        <v>99</v>
      </c>
      <c r="B36" s="23"/>
      <c r="C36" s="23"/>
      <c r="D36" s="24"/>
      <c r="F36" s="25" t="s">
        <v>100</v>
      </c>
      <c r="G36" s="26">
        <f>SUM(G35/2000)</f>
        <v>1.971255</v>
      </c>
      <c r="H36" s="31"/>
      <c r="K36" s="27"/>
      <c r="L36" s="27"/>
      <c r="O36" s="27"/>
    </row>
    <row r="37" spans="1:19" ht="15.75" customHeight="1">
      <c r="A37" s="32" t="s">
        <v>101</v>
      </c>
      <c r="C37" s="24"/>
      <c r="D37" s="24"/>
      <c r="H37" s="22"/>
    </row>
    <row r="38" spans="1:19" ht="14.25" customHeight="1">
      <c r="A38" s="32" t="s">
        <v>102</v>
      </c>
      <c r="C38" s="24"/>
      <c r="D38" s="24"/>
    </row>
    <row r="39" spans="1:19" ht="30.75" customHeight="1">
      <c r="C39" s="24"/>
      <c r="D39" s="24"/>
      <c r="F39" s="33" t="s">
        <v>103</v>
      </c>
      <c r="G39" s="34">
        <f>SUM(G20+G35)</f>
        <v>19150.109999999997</v>
      </c>
    </row>
    <row r="40" spans="1:19" ht="45.75" customHeight="1">
      <c r="C40" s="24"/>
      <c r="D40" s="24"/>
      <c r="F40" s="33" t="s">
        <v>104</v>
      </c>
      <c r="G40" s="34">
        <f>G39/1000</f>
        <v>19.150109999999998</v>
      </c>
    </row>
    <row r="41" spans="1:19" ht="15.75" customHeight="1">
      <c r="C41" s="24"/>
      <c r="D41" s="24"/>
    </row>
    <row r="42" spans="1:19" ht="15.75" customHeight="1">
      <c r="C42" s="24"/>
      <c r="D42" s="24"/>
    </row>
    <row r="43" spans="1:19" ht="15.75" customHeight="1">
      <c r="C43" s="24"/>
      <c r="D43" s="24"/>
    </row>
    <row r="44" spans="1:19" ht="15.75" customHeight="1">
      <c r="C44" s="24"/>
      <c r="D44" s="24"/>
    </row>
    <row r="45" spans="1:19" ht="15.75" customHeight="1">
      <c r="C45" s="24"/>
      <c r="D45" s="24"/>
    </row>
    <row r="46" spans="1:19" ht="15.75" customHeight="1">
      <c r="C46" s="24"/>
      <c r="D46" s="24"/>
    </row>
    <row r="47" spans="1:19" ht="15.75" customHeight="1">
      <c r="C47" s="24"/>
      <c r="D47" s="24"/>
    </row>
    <row r="48" spans="1:19" ht="15.75" customHeight="1">
      <c r="C48" s="24"/>
      <c r="D48" s="24"/>
    </row>
    <row r="49" spans="3:4" ht="15.75" customHeight="1">
      <c r="C49" s="24"/>
      <c r="D49" s="24"/>
    </row>
    <row r="50" spans="3:4" ht="15.75" customHeight="1">
      <c r="C50" s="24"/>
      <c r="D50" s="24"/>
    </row>
    <row r="51" spans="3:4" ht="15.75" customHeight="1">
      <c r="C51" s="24"/>
      <c r="D51" s="24"/>
    </row>
    <row r="52" spans="3:4" ht="15.75" customHeight="1">
      <c r="C52" s="24"/>
      <c r="D52" s="24"/>
    </row>
    <row r="53" spans="3:4" ht="15.75" customHeight="1">
      <c r="C53" s="24"/>
      <c r="D53" s="24"/>
    </row>
    <row r="54" spans="3:4" ht="15.75" customHeight="1">
      <c r="C54" s="24"/>
      <c r="D54" s="24"/>
    </row>
    <row r="55" spans="3:4" ht="15.75" customHeight="1">
      <c r="C55" s="24"/>
      <c r="D55" s="24"/>
    </row>
    <row r="56" spans="3:4" ht="15.75" customHeight="1">
      <c r="C56" s="24"/>
      <c r="D56" s="24"/>
    </row>
    <row r="57" spans="3:4" ht="15.75" customHeight="1">
      <c r="C57" s="24"/>
      <c r="D57" s="24"/>
    </row>
    <row r="58" spans="3:4" ht="15.75" customHeight="1">
      <c r="C58" s="24"/>
      <c r="D58" s="24"/>
    </row>
    <row r="59" spans="3:4" ht="15.75" customHeight="1">
      <c r="C59" s="24"/>
      <c r="D59" s="24"/>
    </row>
    <row r="60" spans="3:4" ht="15.75" customHeight="1">
      <c r="C60" s="24"/>
      <c r="D60" s="24"/>
    </row>
    <row r="61" spans="3:4" ht="15.75" customHeight="1">
      <c r="C61" s="24"/>
      <c r="D61" s="24"/>
    </row>
    <row r="62" spans="3:4" ht="15.75" customHeight="1">
      <c r="C62" s="24"/>
      <c r="D62" s="24"/>
    </row>
    <row r="63" spans="3:4" ht="15.75" customHeight="1">
      <c r="C63" s="24"/>
      <c r="D63" s="24"/>
    </row>
    <row r="64" spans="3:4" ht="15.75" customHeight="1">
      <c r="C64" s="24"/>
      <c r="D64" s="24"/>
    </row>
    <row r="65" spans="3:4" ht="15.75" customHeight="1">
      <c r="C65" s="24"/>
      <c r="D65" s="24"/>
    </row>
    <row r="66" spans="3:4" ht="15.75" customHeight="1">
      <c r="C66" s="24"/>
      <c r="D66" s="24"/>
    </row>
    <row r="67" spans="3:4" ht="15.75" customHeight="1">
      <c r="C67" s="24"/>
      <c r="D67" s="24"/>
    </row>
    <row r="68" spans="3:4" ht="15.75" customHeight="1">
      <c r="C68" s="24"/>
      <c r="D68" s="24"/>
    </row>
    <row r="69" spans="3:4" ht="15.75" customHeight="1">
      <c r="C69" s="24"/>
      <c r="D69" s="24"/>
    </row>
    <row r="70" spans="3:4" ht="15.75" customHeight="1">
      <c r="C70" s="24"/>
      <c r="D70" s="24"/>
    </row>
    <row r="71" spans="3:4" ht="15.75" customHeight="1">
      <c r="C71" s="24"/>
      <c r="D71" s="24"/>
    </row>
    <row r="72" spans="3:4" ht="15.75" customHeight="1">
      <c r="C72" s="24"/>
      <c r="D72" s="24"/>
    </row>
    <row r="73" spans="3:4" ht="15.75" customHeight="1">
      <c r="C73" s="24"/>
      <c r="D73" s="24"/>
    </row>
    <row r="74" spans="3:4" ht="15.75" customHeight="1">
      <c r="C74" s="24"/>
      <c r="D74" s="24"/>
    </row>
    <row r="75" spans="3:4" ht="15.75" customHeight="1">
      <c r="C75" s="24"/>
      <c r="D75" s="24"/>
    </row>
    <row r="76" spans="3:4" ht="15.75" customHeight="1">
      <c r="C76" s="24"/>
      <c r="D76" s="24"/>
    </row>
    <row r="77" spans="3:4" ht="15.75" customHeight="1">
      <c r="C77" s="24"/>
      <c r="D77" s="24"/>
    </row>
    <row r="78" spans="3:4" ht="15.75" customHeight="1">
      <c r="C78" s="24"/>
      <c r="D78" s="24"/>
    </row>
    <row r="79" spans="3:4" ht="15.75" customHeight="1">
      <c r="C79" s="24"/>
      <c r="D79" s="24"/>
    </row>
    <row r="80" spans="3:4" ht="15.75" customHeight="1">
      <c r="C80" s="24"/>
      <c r="D80" s="24"/>
    </row>
    <row r="81" spans="3:4" ht="15.75" customHeight="1">
      <c r="C81" s="24"/>
      <c r="D81" s="24"/>
    </row>
    <row r="82" spans="3:4" ht="15.75" customHeight="1">
      <c r="C82" s="24"/>
      <c r="D82" s="24"/>
    </row>
    <row r="83" spans="3:4" ht="15.75" customHeight="1">
      <c r="C83" s="24"/>
      <c r="D83" s="24"/>
    </row>
    <row r="84" spans="3:4" ht="15.75" customHeight="1">
      <c r="C84" s="24"/>
      <c r="D84" s="24"/>
    </row>
    <row r="85" spans="3:4" ht="15.75" customHeight="1">
      <c r="C85" s="24"/>
      <c r="D85" s="24"/>
    </row>
    <row r="86" spans="3:4" ht="15.75" customHeight="1">
      <c r="C86" s="24"/>
      <c r="D86" s="24"/>
    </row>
    <row r="87" spans="3:4" ht="15.75" customHeight="1">
      <c r="C87" s="24"/>
      <c r="D87" s="24"/>
    </row>
    <row r="88" spans="3:4" ht="15.75" customHeight="1">
      <c r="C88" s="24"/>
      <c r="D88" s="24"/>
    </row>
    <row r="89" spans="3:4" ht="15.75" customHeight="1">
      <c r="C89" s="24"/>
      <c r="D89" s="24"/>
    </row>
    <row r="90" spans="3:4" ht="15.75" customHeight="1">
      <c r="C90" s="24"/>
      <c r="D90" s="24"/>
    </row>
    <row r="91" spans="3:4" ht="15.75" customHeight="1">
      <c r="C91" s="24"/>
      <c r="D91" s="24"/>
    </row>
    <row r="92" spans="3:4" ht="15.75" customHeight="1">
      <c r="C92" s="24"/>
      <c r="D92" s="24"/>
    </row>
    <row r="93" spans="3:4" ht="15.75" customHeight="1">
      <c r="C93" s="24"/>
      <c r="D93" s="24"/>
    </row>
    <row r="94" spans="3:4" ht="15.75" customHeight="1">
      <c r="C94" s="24"/>
      <c r="D94" s="24"/>
    </row>
    <row r="95" spans="3:4" ht="15.75" customHeight="1">
      <c r="C95" s="24"/>
      <c r="D95" s="24"/>
    </row>
    <row r="96" spans="3:4" ht="15.75" customHeight="1">
      <c r="C96" s="24"/>
      <c r="D96" s="24"/>
    </row>
    <row r="97" spans="3:4" ht="15.75" customHeight="1">
      <c r="C97" s="24"/>
      <c r="D97" s="24"/>
    </row>
    <row r="98" spans="3:4" ht="15.75" customHeight="1">
      <c r="C98" s="24"/>
      <c r="D98" s="24"/>
    </row>
    <row r="99" spans="3:4" ht="15.75" customHeight="1">
      <c r="C99" s="24"/>
      <c r="D99" s="24"/>
    </row>
    <row r="100" spans="3:4" ht="15.75" customHeight="1">
      <c r="C100" s="24"/>
      <c r="D100" s="24"/>
    </row>
    <row r="101" spans="3:4" ht="15.75" customHeight="1">
      <c r="C101" s="24"/>
      <c r="D101" s="24"/>
    </row>
    <row r="102" spans="3:4" ht="15.75" customHeight="1">
      <c r="C102" s="24"/>
      <c r="D102" s="24"/>
    </row>
    <row r="103" spans="3:4" ht="15.75" customHeight="1">
      <c r="C103" s="24"/>
      <c r="D103" s="24"/>
    </row>
    <row r="104" spans="3:4" ht="15.75" customHeight="1">
      <c r="C104" s="24"/>
      <c r="D104" s="24"/>
    </row>
    <row r="105" spans="3:4" ht="15.75" customHeight="1">
      <c r="C105" s="24"/>
      <c r="D105" s="24"/>
    </row>
    <row r="106" spans="3:4" ht="15.75" customHeight="1">
      <c r="C106" s="24"/>
      <c r="D106" s="24"/>
    </row>
    <row r="107" spans="3:4" ht="15.75" customHeight="1">
      <c r="C107" s="24"/>
      <c r="D107" s="24"/>
    </row>
    <row r="108" spans="3:4" ht="15.75" customHeight="1">
      <c r="C108" s="24"/>
      <c r="D108" s="24"/>
    </row>
    <row r="109" spans="3:4" ht="15.75" customHeight="1">
      <c r="C109" s="24"/>
      <c r="D109" s="24"/>
    </row>
    <row r="110" spans="3:4" ht="15.75" customHeight="1">
      <c r="C110" s="24"/>
      <c r="D110" s="24"/>
    </row>
    <row r="111" spans="3:4" ht="15.75" customHeight="1">
      <c r="C111" s="24"/>
      <c r="D111" s="24"/>
    </row>
    <row r="112" spans="3:4" ht="15.75" customHeight="1">
      <c r="C112" s="24"/>
      <c r="D112" s="24"/>
    </row>
    <row r="113" spans="3:4" ht="15.75" customHeight="1">
      <c r="C113" s="24"/>
      <c r="D113" s="24"/>
    </row>
    <row r="114" spans="3:4" ht="15.75" customHeight="1">
      <c r="C114" s="24"/>
      <c r="D114" s="24"/>
    </row>
    <row r="115" spans="3:4" ht="15.75" customHeight="1">
      <c r="C115" s="24"/>
      <c r="D115" s="24"/>
    </row>
    <row r="116" spans="3:4" ht="15.75" customHeight="1">
      <c r="C116" s="24"/>
      <c r="D116" s="24"/>
    </row>
    <row r="117" spans="3:4" ht="15.75" customHeight="1">
      <c r="C117" s="24"/>
      <c r="D117" s="24"/>
    </row>
    <row r="118" spans="3:4" ht="15.75" customHeight="1">
      <c r="C118" s="24"/>
      <c r="D118" s="24"/>
    </row>
    <row r="119" spans="3:4" ht="15.75" customHeight="1">
      <c r="C119" s="24"/>
      <c r="D119" s="24"/>
    </row>
    <row r="120" spans="3:4" ht="15.75" customHeight="1">
      <c r="C120" s="24"/>
      <c r="D120" s="24"/>
    </row>
    <row r="121" spans="3:4" ht="15.75" customHeight="1">
      <c r="C121" s="24"/>
      <c r="D121" s="24"/>
    </row>
    <row r="122" spans="3:4" ht="15.75" customHeight="1">
      <c r="C122" s="24"/>
      <c r="D122" s="24"/>
    </row>
    <row r="123" spans="3:4" ht="15.75" customHeight="1">
      <c r="C123" s="24"/>
      <c r="D123" s="24"/>
    </row>
    <row r="124" spans="3:4" ht="15.75" customHeight="1">
      <c r="C124" s="24"/>
      <c r="D124" s="24"/>
    </row>
    <row r="125" spans="3:4" ht="15.75" customHeight="1">
      <c r="C125" s="24"/>
      <c r="D125" s="24"/>
    </row>
    <row r="126" spans="3:4" ht="15.75" customHeight="1">
      <c r="C126" s="24"/>
      <c r="D126" s="24"/>
    </row>
    <row r="127" spans="3:4" ht="15.75" customHeight="1">
      <c r="C127" s="24"/>
      <c r="D127" s="24"/>
    </row>
    <row r="128" spans="3:4" ht="15.75" customHeight="1">
      <c r="C128" s="24"/>
      <c r="D128" s="24"/>
    </row>
    <row r="129" spans="3:4" ht="15.75" customHeight="1">
      <c r="C129" s="24"/>
      <c r="D129" s="24"/>
    </row>
    <row r="130" spans="3:4" ht="15.75" customHeight="1">
      <c r="C130" s="24"/>
      <c r="D130" s="24"/>
    </row>
    <row r="131" spans="3:4" ht="15.75" customHeight="1">
      <c r="C131" s="24"/>
      <c r="D131" s="24"/>
    </row>
    <row r="132" spans="3:4" ht="15.75" customHeight="1">
      <c r="C132" s="24"/>
      <c r="D132" s="24"/>
    </row>
    <row r="133" spans="3:4" ht="15.75" customHeight="1">
      <c r="C133" s="24"/>
      <c r="D133" s="24"/>
    </row>
    <row r="134" spans="3:4" ht="15.75" customHeight="1">
      <c r="C134" s="24"/>
      <c r="D134" s="24"/>
    </row>
    <row r="135" spans="3:4" ht="15.75" customHeight="1">
      <c r="C135" s="24"/>
      <c r="D135" s="24"/>
    </row>
    <row r="136" spans="3:4" ht="15.75" customHeight="1">
      <c r="C136" s="24"/>
      <c r="D136" s="24"/>
    </row>
    <row r="137" spans="3:4" ht="15.75" customHeight="1">
      <c r="C137" s="24"/>
      <c r="D137" s="24"/>
    </row>
    <row r="138" spans="3:4" ht="15.75" customHeight="1">
      <c r="C138" s="24"/>
      <c r="D138" s="24"/>
    </row>
    <row r="139" spans="3:4" ht="15.75" customHeight="1">
      <c r="C139" s="24"/>
      <c r="D139" s="24"/>
    </row>
    <row r="140" spans="3:4" ht="15.75" customHeight="1">
      <c r="C140" s="24"/>
      <c r="D140" s="24"/>
    </row>
    <row r="141" spans="3:4" ht="15.75" customHeight="1">
      <c r="C141" s="24"/>
      <c r="D141" s="24"/>
    </row>
    <row r="142" spans="3:4" ht="15.75" customHeight="1">
      <c r="C142" s="24"/>
      <c r="D142" s="24"/>
    </row>
    <row r="143" spans="3:4" ht="15.75" customHeight="1">
      <c r="C143" s="24"/>
      <c r="D143" s="24"/>
    </row>
    <row r="144" spans="3:4" ht="15.75" customHeight="1">
      <c r="C144" s="24"/>
      <c r="D144" s="24"/>
    </row>
    <row r="145" spans="3:4" ht="15.75" customHeight="1">
      <c r="C145" s="24"/>
      <c r="D145" s="24"/>
    </row>
    <row r="146" spans="3:4" ht="15.75" customHeight="1">
      <c r="C146" s="24"/>
      <c r="D146" s="24"/>
    </row>
    <row r="147" spans="3:4" ht="15.75" customHeight="1">
      <c r="C147" s="24"/>
      <c r="D147" s="24"/>
    </row>
    <row r="148" spans="3:4" ht="15.75" customHeight="1">
      <c r="C148" s="24"/>
      <c r="D148" s="24"/>
    </row>
    <row r="149" spans="3:4" ht="15.75" customHeight="1">
      <c r="C149" s="24"/>
      <c r="D149" s="24"/>
    </row>
    <row r="150" spans="3:4" ht="15.75" customHeight="1">
      <c r="C150" s="24"/>
      <c r="D150" s="24"/>
    </row>
    <row r="151" spans="3:4" ht="15.75" customHeight="1">
      <c r="C151" s="24"/>
      <c r="D151" s="24"/>
    </row>
    <row r="152" spans="3:4" ht="15.75" customHeight="1">
      <c r="C152" s="24"/>
      <c r="D152" s="24"/>
    </row>
    <row r="153" spans="3:4" ht="15.75" customHeight="1">
      <c r="C153" s="24"/>
      <c r="D153" s="24"/>
    </row>
    <row r="154" spans="3:4" ht="15.75" customHeight="1">
      <c r="C154" s="24"/>
      <c r="D154" s="24"/>
    </row>
    <row r="155" spans="3:4" ht="15.75" customHeight="1">
      <c r="C155" s="24"/>
      <c r="D155" s="24"/>
    </row>
    <row r="156" spans="3:4" ht="15.75" customHeight="1">
      <c r="C156" s="24"/>
      <c r="D156" s="24"/>
    </row>
    <row r="157" spans="3:4" ht="15.75" customHeight="1">
      <c r="C157" s="24"/>
      <c r="D157" s="24"/>
    </row>
    <row r="158" spans="3:4" ht="15.75" customHeight="1">
      <c r="C158" s="24"/>
      <c r="D158" s="24"/>
    </row>
    <row r="159" spans="3:4" ht="15.75" customHeight="1">
      <c r="C159" s="24"/>
      <c r="D159" s="24"/>
    </row>
    <row r="160" spans="3:4" ht="15.75" customHeight="1">
      <c r="C160" s="24"/>
      <c r="D160" s="24"/>
    </row>
    <row r="161" spans="3:4" ht="15.75" customHeight="1">
      <c r="C161" s="24"/>
      <c r="D161" s="24"/>
    </row>
    <row r="162" spans="3:4" ht="15.75" customHeight="1">
      <c r="C162" s="24"/>
      <c r="D162" s="24"/>
    </row>
    <row r="163" spans="3:4" ht="15.75" customHeight="1">
      <c r="C163" s="24"/>
      <c r="D163" s="24"/>
    </row>
    <row r="164" spans="3:4" ht="15.75" customHeight="1">
      <c r="C164" s="24"/>
      <c r="D164" s="24"/>
    </row>
    <row r="165" spans="3:4" ht="15.75" customHeight="1">
      <c r="C165" s="24"/>
      <c r="D165" s="24"/>
    </row>
    <row r="166" spans="3:4" ht="15.75" customHeight="1">
      <c r="C166" s="24"/>
      <c r="D166" s="24"/>
    </row>
    <row r="167" spans="3:4" ht="15.75" customHeight="1">
      <c r="C167" s="24"/>
      <c r="D167" s="24"/>
    </row>
    <row r="168" spans="3:4" ht="15.75" customHeight="1">
      <c r="C168" s="24"/>
      <c r="D168" s="24"/>
    </row>
    <row r="169" spans="3:4" ht="15.75" customHeight="1">
      <c r="C169" s="24"/>
      <c r="D169" s="24"/>
    </row>
    <row r="170" spans="3:4" ht="15.75" customHeight="1">
      <c r="C170" s="24"/>
      <c r="D170" s="24"/>
    </row>
    <row r="171" spans="3:4" ht="15.75" customHeight="1">
      <c r="C171" s="24"/>
      <c r="D171" s="24"/>
    </row>
    <row r="172" spans="3:4" ht="15.75" customHeight="1">
      <c r="C172" s="24"/>
      <c r="D172" s="24"/>
    </row>
    <row r="173" spans="3:4" ht="15.75" customHeight="1">
      <c r="C173" s="24"/>
      <c r="D173" s="24"/>
    </row>
    <row r="174" spans="3:4" ht="15.75" customHeight="1">
      <c r="C174" s="24"/>
      <c r="D174" s="24"/>
    </row>
    <row r="175" spans="3:4" ht="15.75" customHeight="1">
      <c r="C175" s="24"/>
      <c r="D175" s="24"/>
    </row>
    <row r="176" spans="3:4" ht="15.75" customHeight="1">
      <c r="C176" s="24"/>
      <c r="D176" s="24"/>
    </row>
    <row r="177" spans="3:4" ht="15.75" customHeight="1">
      <c r="C177" s="24"/>
      <c r="D177" s="24"/>
    </row>
    <row r="178" spans="3:4" ht="15.75" customHeight="1">
      <c r="C178" s="24"/>
      <c r="D178" s="24"/>
    </row>
    <row r="179" spans="3:4" ht="15.75" customHeight="1">
      <c r="C179" s="24"/>
      <c r="D179" s="24"/>
    </row>
    <row r="180" spans="3:4" ht="15.75" customHeight="1">
      <c r="C180" s="24"/>
      <c r="D180" s="24"/>
    </row>
    <row r="181" spans="3:4" ht="15.75" customHeight="1">
      <c r="C181" s="24"/>
      <c r="D181" s="24"/>
    </row>
    <row r="182" spans="3:4" ht="15.75" customHeight="1">
      <c r="C182" s="24"/>
      <c r="D182" s="24"/>
    </row>
    <row r="183" spans="3:4" ht="15.75" customHeight="1">
      <c r="C183" s="24"/>
      <c r="D183" s="24"/>
    </row>
    <row r="184" spans="3:4" ht="15.75" customHeight="1">
      <c r="C184" s="24"/>
      <c r="D184" s="24"/>
    </row>
    <row r="185" spans="3:4" ht="15.75" customHeight="1">
      <c r="C185" s="24"/>
      <c r="D185" s="24"/>
    </row>
    <row r="186" spans="3:4" ht="15.75" customHeight="1">
      <c r="C186" s="24"/>
      <c r="D186" s="24"/>
    </row>
    <row r="187" spans="3:4" ht="15.75" customHeight="1">
      <c r="C187" s="24"/>
      <c r="D187" s="24"/>
    </row>
    <row r="188" spans="3:4" ht="15.75" customHeight="1">
      <c r="C188" s="24"/>
      <c r="D188" s="24"/>
    </row>
    <row r="189" spans="3:4" ht="15.75" customHeight="1">
      <c r="C189" s="24"/>
      <c r="D189" s="24"/>
    </row>
    <row r="190" spans="3:4" ht="15.75" customHeight="1">
      <c r="C190" s="24"/>
      <c r="D190" s="24"/>
    </row>
    <row r="191" spans="3:4" ht="15.75" customHeight="1">
      <c r="C191" s="24"/>
      <c r="D191" s="24"/>
    </row>
    <row r="192" spans="3:4" ht="15.75" customHeight="1">
      <c r="C192" s="24"/>
      <c r="D192" s="24"/>
    </row>
    <row r="193" spans="3:4" ht="15.75" customHeight="1">
      <c r="C193" s="24"/>
      <c r="D193" s="24"/>
    </row>
    <row r="194" spans="3:4" ht="15.75" customHeight="1">
      <c r="C194" s="24"/>
      <c r="D194" s="24"/>
    </row>
    <row r="195" spans="3:4" ht="15.75" customHeight="1">
      <c r="C195" s="24"/>
      <c r="D195" s="24"/>
    </row>
    <row r="196" spans="3:4" ht="15.75" customHeight="1">
      <c r="C196" s="24"/>
      <c r="D196" s="24"/>
    </row>
    <row r="197" spans="3:4" ht="15.75" customHeight="1">
      <c r="C197" s="24"/>
      <c r="D197" s="24"/>
    </row>
    <row r="198" spans="3:4" ht="15.75" customHeight="1">
      <c r="C198" s="24"/>
      <c r="D198" s="24"/>
    </row>
    <row r="199" spans="3:4" ht="15.75" customHeight="1">
      <c r="C199" s="24"/>
      <c r="D199" s="24"/>
    </row>
    <row r="200" spans="3:4" ht="15.75" customHeight="1">
      <c r="C200" s="24"/>
      <c r="D200" s="24"/>
    </row>
    <row r="201" spans="3:4" ht="15.75" customHeight="1">
      <c r="C201" s="24"/>
      <c r="D201" s="24"/>
    </row>
    <row r="202" spans="3:4" ht="15.75" customHeight="1">
      <c r="C202" s="24"/>
      <c r="D202" s="24"/>
    </row>
    <row r="203" spans="3:4" ht="15.75" customHeight="1">
      <c r="C203" s="24"/>
      <c r="D203" s="24"/>
    </row>
    <row r="204" spans="3:4" ht="15.75" customHeight="1">
      <c r="C204" s="24"/>
      <c r="D204" s="24"/>
    </row>
    <row r="205" spans="3:4" ht="15.75" customHeight="1">
      <c r="C205" s="24"/>
      <c r="D205" s="24"/>
    </row>
    <row r="206" spans="3:4" ht="15.75" customHeight="1">
      <c r="C206" s="24"/>
      <c r="D206" s="24"/>
    </row>
    <row r="207" spans="3:4" ht="15.75" customHeight="1">
      <c r="C207" s="24"/>
      <c r="D207" s="24"/>
    </row>
    <row r="208" spans="3:4" ht="15.75" customHeight="1">
      <c r="C208" s="24"/>
      <c r="D208" s="24"/>
    </row>
    <row r="209" spans="3:4" ht="15.75" customHeight="1">
      <c r="C209" s="24"/>
      <c r="D209" s="24"/>
    </row>
    <row r="210" spans="3:4" ht="15.75" customHeight="1">
      <c r="C210" s="24"/>
      <c r="D210" s="24"/>
    </row>
    <row r="211" spans="3:4" ht="15.75" customHeight="1">
      <c r="C211" s="24"/>
      <c r="D211" s="24"/>
    </row>
    <row r="212" spans="3:4" ht="15.75" customHeight="1">
      <c r="C212" s="24"/>
      <c r="D212" s="24"/>
    </row>
    <row r="213" spans="3:4" ht="15.75" customHeight="1">
      <c r="C213" s="24"/>
      <c r="D213" s="24"/>
    </row>
    <row r="214" spans="3:4" ht="15.75" customHeight="1">
      <c r="C214" s="24"/>
      <c r="D214" s="24"/>
    </row>
    <row r="215" spans="3:4" ht="15.75" customHeight="1">
      <c r="C215" s="24"/>
      <c r="D215" s="24"/>
    </row>
    <row r="216" spans="3:4" ht="15.75" customHeight="1">
      <c r="C216" s="24"/>
      <c r="D216" s="24"/>
    </row>
    <row r="217" spans="3:4" ht="15.75" customHeight="1">
      <c r="C217" s="24"/>
      <c r="D217" s="24"/>
    </row>
    <row r="218" spans="3:4" ht="15.75" customHeight="1">
      <c r="C218" s="24"/>
      <c r="D218" s="24"/>
    </row>
    <row r="219" spans="3:4" ht="15.75" customHeight="1">
      <c r="C219" s="24"/>
      <c r="D219" s="24"/>
    </row>
    <row r="220" spans="3:4" ht="15.75" customHeight="1">
      <c r="C220" s="24"/>
      <c r="D220" s="24"/>
    </row>
    <row r="221" spans="3:4" ht="15.75" customHeight="1">
      <c r="C221" s="24"/>
      <c r="D221" s="24"/>
    </row>
    <row r="222" spans="3:4" ht="15.75" customHeight="1">
      <c r="C222" s="24"/>
      <c r="D222" s="24"/>
    </row>
    <row r="223" spans="3:4" ht="15.75" customHeight="1">
      <c r="C223" s="24"/>
      <c r="D223" s="24"/>
    </row>
    <row r="224" spans="3:4" ht="15.75" customHeight="1">
      <c r="C224" s="24"/>
      <c r="D224" s="24"/>
    </row>
    <row r="225" spans="3:4" ht="15.75" customHeight="1">
      <c r="C225" s="24"/>
      <c r="D225" s="24"/>
    </row>
    <row r="226" spans="3:4" ht="15.75" customHeight="1">
      <c r="C226" s="24"/>
      <c r="D226" s="24"/>
    </row>
    <row r="227" spans="3:4" ht="15.75" customHeight="1">
      <c r="C227" s="24"/>
      <c r="D227" s="24"/>
    </row>
    <row r="228" spans="3:4" ht="15.75" customHeight="1">
      <c r="C228" s="24"/>
      <c r="D228" s="24"/>
    </row>
    <row r="229" spans="3:4" ht="15.75" customHeight="1">
      <c r="C229" s="24"/>
      <c r="D229" s="24"/>
    </row>
    <row r="230" spans="3:4" ht="15.75" customHeight="1">
      <c r="C230" s="24"/>
      <c r="D230" s="24"/>
    </row>
    <row r="231" spans="3:4" ht="15.75" customHeight="1">
      <c r="C231" s="24"/>
      <c r="D231" s="24"/>
    </row>
    <row r="232" spans="3:4" ht="15.75" customHeight="1">
      <c r="C232" s="24"/>
      <c r="D232" s="24"/>
    </row>
    <row r="233" spans="3:4" ht="15.75" customHeight="1">
      <c r="C233" s="24"/>
      <c r="D233" s="24"/>
    </row>
    <row r="234" spans="3:4" ht="15.75" customHeight="1">
      <c r="C234" s="24"/>
      <c r="D234" s="24"/>
    </row>
    <row r="235" spans="3:4" ht="15.75" customHeight="1">
      <c r="C235" s="24"/>
      <c r="D235" s="24"/>
    </row>
    <row r="236" spans="3:4" ht="15.75" customHeight="1">
      <c r="C236" s="24"/>
      <c r="D236" s="24"/>
    </row>
    <row r="237" spans="3:4" ht="15.75" customHeight="1">
      <c r="C237" s="24"/>
      <c r="D237" s="24"/>
    </row>
    <row r="238" spans="3:4" ht="15.75" customHeight="1">
      <c r="C238" s="24"/>
      <c r="D238" s="24"/>
    </row>
    <row r="239" spans="3:4" ht="15.75" customHeight="1">
      <c r="C239" s="24"/>
      <c r="D239" s="24"/>
    </row>
    <row r="240" spans="3:4" ht="15.75" customHeight="1">
      <c r="C240" s="24"/>
      <c r="D240" s="24"/>
    </row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4:H39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53734"/>
  </sheetPr>
  <dimension ref="A1:Z1000"/>
  <sheetViews>
    <sheetView workbookViewId="0">
      <selection activeCell="H31" sqref="H31"/>
    </sheetView>
  </sheetViews>
  <sheetFormatPr defaultColWidth="12.6640625" defaultRowHeight="15" customHeight="1"/>
  <cols>
    <col min="1" max="1" width="46.44140625" customWidth="1"/>
    <col min="2" max="2" width="32.21875" customWidth="1"/>
    <col min="3" max="5" width="10.77734375" customWidth="1"/>
    <col min="6" max="8" width="14.77734375" customWidth="1"/>
    <col min="9" max="9" width="42.44140625" customWidth="1"/>
    <col min="10" max="24" width="12.77734375" customWidth="1"/>
    <col min="25" max="26" width="12.44140625" customWidth="1"/>
  </cols>
  <sheetData>
    <row r="1" spans="1:26" ht="14.25" customHeight="1">
      <c r="A1" s="1" t="s">
        <v>119</v>
      </c>
    </row>
    <row r="2" spans="1:26" ht="15.75" customHeight="1">
      <c r="A2" s="37"/>
      <c r="B2" s="38"/>
      <c r="C2" s="38"/>
      <c r="D2" s="38"/>
      <c r="E2" s="38"/>
      <c r="F2" s="38"/>
      <c r="H2" s="39"/>
      <c r="I2" s="38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spans="1:26" ht="15.75" customHeight="1">
      <c r="A3" s="40"/>
      <c r="B3" s="38"/>
      <c r="C3" s="52" t="s">
        <v>120</v>
      </c>
      <c r="D3" s="53"/>
      <c r="E3" s="54"/>
      <c r="F3" s="38"/>
      <c r="H3" s="39"/>
      <c r="I3" s="38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</row>
    <row r="4" spans="1:26" ht="23.25" customHeight="1">
      <c r="A4" s="41" t="s">
        <v>121</v>
      </c>
      <c r="B4" s="41" t="s">
        <v>3</v>
      </c>
      <c r="C4" s="42" t="s">
        <v>122</v>
      </c>
      <c r="D4" s="42" t="s">
        <v>123</v>
      </c>
      <c r="E4" s="42" t="s">
        <v>124</v>
      </c>
      <c r="F4" s="43" t="s">
        <v>125</v>
      </c>
      <c r="G4" s="43" t="s">
        <v>126</v>
      </c>
      <c r="H4" s="43" t="s">
        <v>127</v>
      </c>
      <c r="I4" s="43" t="s">
        <v>10</v>
      </c>
      <c r="J4" s="39"/>
      <c r="K4" s="38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25" customHeight="1">
      <c r="A5" s="44" t="s">
        <v>128</v>
      </c>
      <c r="B5" s="44" t="s">
        <v>129</v>
      </c>
      <c r="C5" s="45"/>
      <c r="D5" s="45"/>
      <c r="E5" s="45" t="s">
        <v>130</v>
      </c>
      <c r="F5" s="45">
        <f>COUNTA(Equipment!$C5:$E5)</f>
        <v>1</v>
      </c>
      <c r="G5" s="45"/>
      <c r="H5" s="45">
        <f>MAX(Equipment!$F5-Equipment!$G5,0)</f>
        <v>1</v>
      </c>
      <c r="I5" s="45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25" customHeight="1">
      <c r="A6" s="44" t="s">
        <v>131</v>
      </c>
      <c r="B6" s="46" t="s">
        <v>132</v>
      </c>
      <c r="C6" s="47"/>
      <c r="D6" s="47"/>
      <c r="E6" s="47" t="s">
        <v>130</v>
      </c>
      <c r="F6" s="45">
        <f>COUNTA(Equipment!$C6:$E6)</f>
        <v>1</v>
      </c>
      <c r="G6" s="45"/>
      <c r="H6" s="45">
        <f>MAX(Equipment!$F6-Equipment!$G6,0)</f>
        <v>1</v>
      </c>
      <c r="I6" s="45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25" customHeight="1">
      <c r="A7" s="44" t="s">
        <v>133</v>
      </c>
      <c r="B7" s="44" t="s">
        <v>134</v>
      </c>
      <c r="C7" s="45"/>
      <c r="D7" s="45"/>
      <c r="E7" s="45" t="s">
        <v>130</v>
      </c>
      <c r="F7" s="45">
        <f>COUNTA(Equipment!$C7:$E7)</f>
        <v>1</v>
      </c>
      <c r="G7" s="45"/>
      <c r="H7" s="45">
        <f>MAX(Equipment!$F7-Equipment!$G7,0)</f>
        <v>1</v>
      </c>
      <c r="I7" s="45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25" customHeight="1">
      <c r="A8" s="44" t="s">
        <v>135</v>
      </c>
      <c r="B8" s="46" t="s">
        <v>136</v>
      </c>
      <c r="C8" s="47"/>
      <c r="D8" s="47"/>
      <c r="E8" s="47" t="s">
        <v>130</v>
      </c>
      <c r="F8" s="45">
        <f>COUNTA(Equipment!$C8:$E8)</f>
        <v>1</v>
      </c>
      <c r="G8" s="45"/>
      <c r="H8" s="45">
        <f>MAX(Equipment!$F8-Equipment!$G8,0)</f>
        <v>1</v>
      </c>
      <c r="I8" s="45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25" customHeight="1">
      <c r="A9" s="44" t="s">
        <v>137</v>
      </c>
      <c r="B9" s="46" t="s">
        <v>138</v>
      </c>
      <c r="C9" s="47"/>
      <c r="D9" s="47"/>
      <c r="E9" s="47" t="s">
        <v>130</v>
      </c>
      <c r="F9" s="45">
        <f>COUNTA(Equipment!$C9:$E9)</f>
        <v>1</v>
      </c>
      <c r="G9" s="45"/>
      <c r="H9" s="45">
        <f>MAX(Equipment!$F9-Equipment!$G9,0)</f>
        <v>1</v>
      </c>
      <c r="I9" s="45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25" customHeight="1">
      <c r="A10" s="44" t="s">
        <v>137</v>
      </c>
      <c r="B10" s="46" t="s">
        <v>139</v>
      </c>
      <c r="C10" s="47"/>
      <c r="D10" s="47"/>
      <c r="E10" s="47" t="s">
        <v>130</v>
      </c>
      <c r="F10" s="45">
        <f>COUNTA(Equipment!$C10:$E10)</f>
        <v>1</v>
      </c>
      <c r="G10" s="45"/>
      <c r="H10" s="45">
        <f>MAX(Equipment!$F10-Equipment!$G10,0)</f>
        <v>1</v>
      </c>
      <c r="I10" s="45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5.75" customHeight="1">
      <c r="A11" s="46" t="s">
        <v>140</v>
      </c>
      <c r="B11" s="46" t="s">
        <v>141</v>
      </c>
      <c r="C11" s="45" t="s">
        <v>130</v>
      </c>
      <c r="D11" s="45"/>
      <c r="E11" s="45"/>
      <c r="F11" s="45">
        <f>COUNTA(Equipment!$C11:$E11)</f>
        <v>1</v>
      </c>
      <c r="G11" s="45"/>
      <c r="H11" s="45">
        <f>MAX(Equipment!$F11-Equipment!$G11,0)</f>
        <v>1</v>
      </c>
      <c r="I11" s="45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5.75" customHeight="1">
      <c r="A12" s="46" t="s">
        <v>142</v>
      </c>
      <c r="B12" s="46" t="s">
        <v>143</v>
      </c>
      <c r="C12" s="45" t="s">
        <v>130</v>
      </c>
      <c r="D12" s="45"/>
      <c r="E12" s="45"/>
      <c r="F12" s="45">
        <f>COUNTA(Equipment!$C12:$E12)</f>
        <v>1</v>
      </c>
      <c r="G12" s="45"/>
      <c r="H12" s="45">
        <f>MAX(Equipment!$F12-Equipment!$G12,0)</f>
        <v>1</v>
      </c>
      <c r="I12" s="45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5.75" customHeight="1">
      <c r="A13" s="46" t="s">
        <v>144</v>
      </c>
      <c r="B13" s="46" t="s">
        <v>145</v>
      </c>
      <c r="C13" s="45"/>
      <c r="D13" s="45" t="s">
        <v>130</v>
      </c>
      <c r="E13" s="45" t="s">
        <v>130</v>
      </c>
      <c r="F13" s="45">
        <f>COUNTA(Equipment!$C13:$E13)</f>
        <v>2</v>
      </c>
      <c r="G13" s="45"/>
      <c r="H13" s="45">
        <f>MAX(Equipment!$F13-Equipment!$G13,0)</f>
        <v>2</v>
      </c>
      <c r="I13" s="45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5.75" customHeight="1">
      <c r="A14" s="46" t="s">
        <v>144</v>
      </c>
      <c r="B14" s="46" t="s">
        <v>146</v>
      </c>
      <c r="C14" s="45"/>
      <c r="D14" s="45" t="s">
        <v>130</v>
      </c>
      <c r="E14" s="45" t="s">
        <v>130</v>
      </c>
      <c r="F14" s="45">
        <f>COUNTA(Equipment!$C14:$E14)</f>
        <v>2</v>
      </c>
      <c r="G14" s="45"/>
      <c r="H14" s="45">
        <f>MAX(Equipment!$F14-Equipment!$G14,0)</f>
        <v>2</v>
      </c>
      <c r="I14" s="45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</row>
    <row r="15" spans="1:26" ht="15.75" customHeight="1">
      <c r="A15" s="46" t="s">
        <v>147</v>
      </c>
      <c r="B15" s="46" t="s">
        <v>148</v>
      </c>
      <c r="C15" s="45" t="s">
        <v>130</v>
      </c>
      <c r="D15" s="45" t="s">
        <v>130</v>
      </c>
      <c r="E15" s="45" t="s">
        <v>130</v>
      </c>
      <c r="F15" s="45">
        <f>COUNTA(Equipment!$C15:$E15)</f>
        <v>3</v>
      </c>
      <c r="G15" s="45"/>
      <c r="H15" s="45">
        <f>MAX(Equipment!$F15-Equipment!$G15,0)</f>
        <v>3</v>
      </c>
      <c r="I15" s="45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</row>
    <row r="16" spans="1:26" ht="15.75" customHeight="1">
      <c r="A16" s="46" t="s">
        <v>149</v>
      </c>
      <c r="B16" s="46" t="s">
        <v>150</v>
      </c>
      <c r="C16" s="45"/>
      <c r="D16" s="45"/>
      <c r="E16" s="45" t="s">
        <v>130</v>
      </c>
      <c r="F16" s="45">
        <f>COUNTA(Equipment!$C16:$E16)</f>
        <v>1</v>
      </c>
      <c r="G16" s="45"/>
      <c r="H16" s="45">
        <f>MAX(Equipment!$F16-Equipment!$G16,0)</f>
        <v>1</v>
      </c>
      <c r="I16" s="45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</row>
    <row r="17" spans="1:24" ht="15.75" customHeight="1">
      <c r="A17" s="44" t="s">
        <v>151</v>
      </c>
      <c r="B17" s="46" t="s">
        <v>152</v>
      </c>
      <c r="C17" s="45" t="s">
        <v>130</v>
      </c>
      <c r="D17" s="45" t="s">
        <v>130</v>
      </c>
      <c r="E17" s="45" t="s">
        <v>130</v>
      </c>
      <c r="F17" s="45">
        <f>COUNTA(Equipment!$C17:$E17)</f>
        <v>3</v>
      </c>
      <c r="G17" s="45"/>
      <c r="H17" s="45">
        <f>MAX(Equipment!$F17-Equipment!$G17,0)</f>
        <v>3</v>
      </c>
      <c r="I17" s="47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</row>
    <row r="18" spans="1:24" ht="15.75" customHeight="1">
      <c r="A18" s="46" t="s">
        <v>153</v>
      </c>
      <c r="B18" s="46" t="s">
        <v>154</v>
      </c>
      <c r="C18" s="45"/>
      <c r="D18" s="45"/>
      <c r="E18" s="45" t="s">
        <v>130</v>
      </c>
      <c r="F18" s="45">
        <f>COUNTA(Equipment!$C18:$E18)</f>
        <v>1</v>
      </c>
      <c r="G18" s="45"/>
      <c r="H18" s="45">
        <f>MAX(Equipment!$F18-Equipment!$G18,0)</f>
        <v>1</v>
      </c>
      <c r="I18" s="45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</row>
    <row r="19" spans="1:24" ht="15.75" customHeight="1">
      <c r="A19" s="46" t="s">
        <v>155</v>
      </c>
      <c r="B19" s="46" t="s">
        <v>156</v>
      </c>
      <c r="C19" s="45"/>
      <c r="D19" s="45"/>
      <c r="E19" s="45" t="s">
        <v>130</v>
      </c>
      <c r="F19" s="45">
        <f>COUNTA(Equipment!$C19:$E19)</f>
        <v>1</v>
      </c>
      <c r="G19" s="45"/>
      <c r="H19" s="45">
        <f>MAX(Equipment!$F19-Equipment!$G19,0)</f>
        <v>1</v>
      </c>
      <c r="I19" s="45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</row>
    <row r="20" spans="1:24" ht="15.75" customHeight="1">
      <c r="A20" s="46" t="s">
        <v>157</v>
      </c>
      <c r="B20" s="46" t="s">
        <v>158</v>
      </c>
      <c r="C20" s="45"/>
      <c r="D20" s="45"/>
      <c r="E20" s="45" t="s">
        <v>130</v>
      </c>
      <c r="F20" s="45">
        <f>COUNTA(Equipment!$C20:$E20)</f>
        <v>1</v>
      </c>
      <c r="G20" s="45"/>
      <c r="H20" s="45">
        <f>MAX(Equipment!$F20-Equipment!$G20,0)</f>
        <v>1</v>
      </c>
      <c r="I20" s="45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</row>
    <row r="21" spans="1:24" ht="14.25" customHeight="1">
      <c r="A21" s="46" t="s">
        <v>159</v>
      </c>
      <c r="B21" s="46" t="s">
        <v>160</v>
      </c>
      <c r="C21" s="45"/>
      <c r="D21" s="45" t="s">
        <v>130</v>
      </c>
      <c r="E21" s="45" t="s">
        <v>130</v>
      </c>
      <c r="F21" s="45">
        <f>COUNTA(Equipment!$C21:$E21)</f>
        <v>2</v>
      </c>
      <c r="G21" s="45"/>
      <c r="H21" s="45">
        <f>MAX(Equipment!$F21-Equipment!$G21,0)</f>
        <v>2</v>
      </c>
      <c r="I21" s="45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</row>
    <row r="22" spans="1:24" ht="15.75" customHeight="1">
      <c r="A22" s="46" t="s">
        <v>159</v>
      </c>
      <c r="B22" s="46" t="s">
        <v>161</v>
      </c>
      <c r="C22" s="45"/>
      <c r="D22" s="45" t="s">
        <v>130</v>
      </c>
      <c r="E22" s="45" t="s">
        <v>130</v>
      </c>
      <c r="F22" s="45">
        <f>COUNTA(Equipment!$C22:$E22)</f>
        <v>2</v>
      </c>
      <c r="G22" s="45"/>
      <c r="H22" s="45">
        <f>MAX(Equipment!$F22-Equipment!$G22,0)</f>
        <v>2</v>
      </c>
      <c r="I22" s="45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</row>
    <row r="23" spans="1:24" ht="15.75" customHeight="1">
      <c r="A23" s="46" t="s">
        <v>162</v>
      </c>
      <c r="B23" s="46" t="s">
        <v>163</v>
      </c>
      <c r="C23" s="45"/>
      <c r="D23" s="45" t="s">
        <v>130</v>
      </c>
      <c r="E23" s="47"/>
      <c r="F23" s="45">
        <f>COUNTA(Equipment!$C23:$E23)</f>
        <v>1</v>
      </c>
      <c r="G23" s="45"/>
      <c r="H23" s="45">
        <f>MAX(Equipment!$F23-Equipment!$G23,0)</f>
        <v>1</v>
      </c>
      <c r="I23" s="45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</row>
    <row r="24" spans="1:24" ht="15.75" customHeight="1">
      <c r="A24" s="46" t="s">
        <v>162</v>
      </c>
      <c r="B24" s="46" t="s">
        <v>164</v>
      </c>
      <c r="C24" s="45"/>
      <c r="D24" s="45"/>
      <c r="E24" s="47" t="s">
        <v>130</v>
      </c>
      <c r="F24" s="45">
        <f>COUNTA(Equipment!$C24:$E24)</f>
        <v>1</v>
      </c>
      <c r="G24" s="45"/>
      <c r="H24" s="45">
        <f>MAX(Equipment!$F24-Equipment!$G24,0)</f>
        <v>1</v>
      </c>
      <c r="I24" s="45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</row>
    <row r="25" spans="1:24" ht="4.5" customHeight="1">
      <c r="A25" s="46"/>
      <c r="B25" s="46"/>
      <c r="C25" s="45"/>
      <c r="D25" s="45"/>
      <c r="E25" s="47"/>
      <c r="F25" s="45"/>
      <c r="G25" s="45"/>
      <c r="H25" s="45"/>
      <c r="I25" s="45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</row>
    <row r="26" spans="1:24" ht="12" customHeight="1">
      <c r="A26" s="48" t="s">
        <v>165</v>
      </c>
      <c r="B26" s="48"/>
      <c r="C26" s="48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</row>
    <row r="27" spans="1:24" ht="12" customHeight="1">
      <c r="A27" s="48" t="s">
        <v>166</v>
      </c>
      <c r="B27" s="48"/>
      <c r="C27" s="48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</row>
    <row r="28" spans="1:24" ht="12" customHeight="1">
      <c r="A28" s="48" t="s">
        <v>167</v>
      </c>
      <c r="B28" s="48"/>
      <c r="C28" s="48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</row>
    <row r="29" spans="1:24" ht="12" customHeight="1">
      <c r="A29" s="49" t="s">
        <v>168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</row>
    <row r="30" spans="1:24" ht="15.75" customHeight="1"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</row>
    <row r="31" spans="1:24" ht="15.75" customHeight="1">
      <c r="A31" s="37"/>
      <c r="B31" s="38"/>
      <c r="C31" s="38"/>
      <c r="D31" s="38"/>
      <c r="E31" s="38"/>
      <c r="F31" s="38"/>
      <c r="G31" s="38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</row>
    <row r="32" spans="1:24" ht="15.75" customHeight="1">
      <c r="A32" s="37"/>
      <c r="B32" s="38"/>
      <c r="C32" s="38"/>
      <c r="D32" s="38"/>
      <c r="E32" s="38"/>
      <c r="F32" s="38"/>
      <c r="G32" s="38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</row>
    <row r="33" spans="1:24" ht="15.75" customHeight="1">
      <c r="A33" s="37"/>
      <c r="B33" s="38"/>
      <c r="C33" s="38"/>
      <c r="D33" s="38"/>
      <c r="E33" s="38"/>
      <c r="F33" s="38"/>
      <c r="G33" s="38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</row>
    <row r="34" spans="1:24" ht="15.75" customHeight="1">
      <c r="A34" s="37"/>
      <c r="B34" s="38"/>
      <c r="C34" s="38"/>
      <c r="D34" s="38"/>
      <c r="E34" s="38"/>
      <c r="F34" s="38"/>
      <c r="G34" s="38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</row>
    <row r="35" spans="1:24" ht="15.75" customHeight="1">
      <c r="A35" s="37"/>
      <c r="B35" s="38"/>
      <c r="C35" s="38"/>
      <c r="D35" s="38"/>
      <c r="E35" s="38"/>
      <c r="F35" s="38"/>
      <c r="G35" s="38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</row>
    <row r="36" spans="1:24" ht="15.75" customHeight="1">
      <c r="A36" s="37"/>
      <c r="B36" s="38"/>
      <c r="C36" s="38"/>
      <c r="D36" s="38"/>
      <c r="E36" s="38"/>
      <c r="F36" s="38"/>
      <c r="G36" s="38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</row>
    <row r="37" spans="1:24" ht="15.75" customHeight="1">
      <c r="A37" s="37"/>
      <c r="B37" s="38"/>
      <c r="C37" s="38"/>
      <c r="D37" s="38"/>
      <c r="E37" s="38"/>
      <c r="F37" s="38"/>
      <c r="G37" s="38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</row>
    <row r="38" spans="1:24" ht="15.75" customHeight="1">
      <c r="A38" s="37"/>
      <c r="B38" s="38"/>
      <c r="C38" s="38"/>
      <c r="D38" s="38"/>
      <c r="E38" s="38"/>
      <c r="F38" s="38"/>
      <c r="G38" s="38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</row>
    <row r="39" spans="1:24" ht="15.75" customHeight="1">
      <c r="A39" s="37"/>
      <c r="B39" s="38"/>
      <c r="C39" s="38"/>
      <c r="D39" s="38"/>
      <c r="E39" s="38"/>
      <c r="F39" s="38"/>
      <c r="G39" s="38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</row>
    <row r="40" spans="1:24" ht="15.75" customHeight="1">
      <c r="A40" s="37"/>
      <c r="B40" s="38"/>
      <c r="C40" s="38"/>
      <c r="D40" s="38"/>
      <c r="E40" s="38"/>
      <c r="F40" s="38"/>
      <c r="G40" s="38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</row>
    <row r="41" spans="1:24" ht="15.75" customHeight="1">
      <c r="A41" s="37"/>
      <c r="B41" s="38"/>
      <c r="C41" s="38"/>
      <c r="D41" s="38"/>
      <c r="E41" s="38"/>
      <c r="F41" s="38"/>
      <c r="G41" s="38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</row>
    <row r="42" spans="1:24" ht="15.75" customHeight="1">
      <c r="A42" s="37"/>
      <c r="B42" s="38"/>
      <c r="C42" s="38"/>
      <c r="D42" s="38"/>
      <c r="E42" s="38"/>
      <c r="F42" s="38"/>
      <c r="G42" s="38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</row>
    <row r="43" spans="1:24" ht="15.75" customHeight="1">
      <c r="A43" s="37"/>
      <c r="B43" s="38"/>
      <c r="C43" s="38"/>
      <c r="D43" s="38"/>
      <c r="E43" s="38"/>
      <c r="F43" s="38"/>
      <c r="G43" s="38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</row>
    <row r="44" spans="1:24" ht="15.75" customHeight="1">
      <c r="A44" s="37"/>
      <c r="B44" s="38"/>
      <c r="C44" s="38"/>
      <c r="D44" s="38"/>
      <c r="E44" s="38"/>
      <c r="F44" s="38"/>
      <c r="G44" s="38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</row>
    <row r="45" spans="1:24" ht="15.75" customHeight="1">
      <c r="A45" s="37"/>
      <c r="B45" s="38"/>
      <c r="C45" s="38"/>
      <c r="D45" s="38"/>
      <c r="E45" s="38"/>
      <c r="F45" s="38"/>
      <c r="G45" s="38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</row>
    <row r="46" spans="1:24" ht="15.75" customHeight="1">
      <c r="A46" s="37"/>
      <c r="B46" s="38"/>
      <c r="C46" s="38"/>
      <c r="D46" s="38"/>
      <c r="E46" s="38"/>
      <c r="F46" s="38"/>
      <c r="G46" s="38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</row>
    <row r="47" spans="1:24" ht="15.75" customHeight="1">
      <c r="A47" s="37"/>
      <c r="B47" s="38"/>
      <c r="C47" s="38"/>
      <c r="D47" s="38"/>
      <c r="E47" s="38"/>
      <c r="F47" s="38"/>
      <c r="G47" s="38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</row>
    <row r="48" spans="1:24" ht="15.75" customHeight="1">
      <c r="A48" s="37"/>
      <c r="B48" s="38"/>
      <c r="C48" s="38"/>
      <c r="D48" s="38"/>
      <c r="E48" s="38"/>
      <c r="F48" s="38"/>
      <c r="G48" s="38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</row>
    <row r="49" spans="1:24" ht="15.75" customHeight="1">
      <c r="A49" s="37"/>
      <c r="B49" s="38"/>
      <c r="C49" s="38"/>
      <c r="D49" s="38"/>
      <c r="E49" s="38"/>
      <c r="F49" s="38"/>
      <c r="G49" s="38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</row>
    <row r="50" spans="1:24" ht="15.75" customHeight="1">
      <c r="A50" s="37"/>
      <c r="B50" s="38"/>
      <c r="C50" s="38"/>
      <c r="D50" s="38"/>
      <c r="E50" s="38"/>
      <c r="F50" s="38"/>
      <c r="G50" s="38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</row>
    <row r="51" spans="1:24" ht="15.75" customHeight="1">
      <c r="A51" s="37"/>
      <c r="B51" s="38"/>
      <c r="C51" s="38"/>
      <c r="D51" s="38"/>
      <c r="E51" s="38"/>
      <c r="F51" s="38"/>
      <c r="G51" s="38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</row>
    <row r="52" spans="1:24" ht="15.75" customHeight="1">
      <c r="A52" s="37"/>
      <c r="B52" s="38"/>
      <c r="C52" s="38"/>
      <c r="D52" s="38"/>
      <c r="E52" s="38"/>
      <c r="F52" s="38"/>
      <c r="G52" s="38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</row>
    <row r="53" spans="1:24" ht="15.75" customHeight="1">
      <c r="A53" s="37"/>
      <c r="B53" s="38"/>
      <c r="C53" s="38"/>
      <c r="D53" s="38"/>
      <c r="E53" s="38"/>
      <c r="F53" s="38"/>
      <c r="G53" s="38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</row>
    <row r="54" spans="1:24" ht="15.75" customHeight="1">
      <c r="A54" s="37"/>
      <c r="B54" s="38"/>
      <c r="C54" s="38"/>
      <c r="D54" s="38"/>
      <c r="E54" s="38"/>
      <c r="F54" s="38"/>
      <c r="G54" s="38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</row>
    <row r="55" spans="1:24" ht="15.75" customHeight="1">
      <c r="A55" s="37"/>
      <c r="B55" s="38"/>
      <c r="C55" s="38"/>
      <c r="D55" s="38"/>
      <c r="E55" s="38"/>
      <c r="F55" s="38"/>
      <c r="G55" s="38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</row>
    <row r="56" spans="1:24" ht="15.75" customHeight="1">
      <c r="A56" s="37"/>
      <c r="B56" s="38"/>
      <c r="C56" s="38"/>
      <c r="D56" s="38"/>
      <c r="E56" s="38"/>
      <c r="F56" s="38"/>
      <c r="G56" s="38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</row>
    <row r="57" spans="1:24" ht="15.75" customHeight="1">
      <c r="A57" s="37"/>
      <c r="B57" s="38"/>
      <c r="C57" s="38"/>
      <c r="D57" s="38"/>
      <c r="E57" s="38"/>
      <c r="F57" s="38"/>
      <c r="G57" s="38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</row>
    <row r="58" spans="1:24" ht="15.75" customHeight="1">
      <c r="A58" s="37"/>
      <c r="B58" s="38"/>
      <c r="C58" s="38"/>
      <c r="D58" s="38"/>
      <c r="E58" s="38"/>
      <c r="F58" s="38"/>
      <c r="G58" s="38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</row>
    <row r="59" spans="1:24" ht="15.75" customHeight="1">
      <c r="A59" s="37"/>
      <c r="B59" s="38"/>
      <c r="C59" s="38"/>
      <c r="D59" s="38"/>
      <c r="E59" s="38"/>
      <c r="F59" s="38"/>
      <c r="G59" s="38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</row>
    <row r="60" spans="1:24" ht="15.75" customHeight="1">
      <c r="A60" s="37"/>
      <c r="B60" s="38"/>
      <c r="C60" s="38"/>
      <c r="D60" s="38"/>
      <c r="E60" s="38"/>
      <c r="F60" s="38"/>
      <c r="G60" s="38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</row>
    <row r="61" spans="1:24" ht="15.75" customHeight="1">
      <c r="A61" s="37"/>
      <c r="B61" s="38"/>
      <c r="C61" s="38"/>
      <c r="D61" s="38"/>
      <c r="E61" s="38"/>
      <c r="F61" s="38"/>
      <c r="G61" s="38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</row>
    <row r="62" spans="1:24" ht="15.75" customHeight="1">
      <c r="A62" s="37"/>
      <c r="B62" s="38"/>
      <c r="C62" s="38"/>
      <c r="D62" s="38"/>
      <c r="E62" s="38"/>
      <c r="F62" s="38"/>
      <c r="G62" s="38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</row>
    <row r="63" spans="1:24" ht="15.75" customHeight="1">
      <c r="A63" s="37"/>
      <c r="B63" s="38"/>
      <c r="C63" s="38"/>
      <c r="D63" s="38"/>
      <c r="E63" s="38"/>
      <c r="F63" s="38"/>
      <c r="G63" s="38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</row>
    <row r="64" spans="1:24" ht="15.75" customHeight="1">
      <c r="A64" s="37"/>
      <c r="B64" s="38"/>
      <c r="C64" s="38"/>
      <c r="D64" s="38"/>
      <c r="E64" s="38"/>
      <c r="F64" s="38"/>
      <c r="G64" s="38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</row>
    <row r="65" spans="1:24" ht="15.75" customHeight="1">
      <c r="A65" s="37"/>
      <c r="B65" s="38"/>
      <c r="C65" s="38"/>
      <c r="D65" s="38"/>
      <c r="E65" s="38"/>
      <c r="F65" s="38"/>
      <c r="G65" s="38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</row>
    <row r="66" spans="1:24" ht="15.75" customHeight="1">
      <c r="A66" s="37"/>
      <c r="B66" s="38"/>
      <c r="C66" s="38"/>
      <c r="D66" s="38"/>
      <c r="E66" s="38"/>
      <c r="F66" s="38"/>
      <c r="G66" s="38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</row>
    <row r="67" spans="1:24" ht="15.75" customHeight="1">
      <c r="A67" s="37"/>
      <c r="B67" s="38"/>
      <c r="C67" s="38"/>
      <c r="D67" s="38"/>
      <c r="E67" s="38"/>
      <c r="F67" s="38"/>
      <c r="G67" s="38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</row>
    <row r="68" spans="1:24" ht="15.75" customHeight="1">
      <c r="A68" s="37"/>
      <c r="B68" s="38"/>
      <c r="C68" s="38"/>
      <c r="D68" s="38"/>
      <c r="E68" s="38"/>
      <c r="F68" s="38"/>
      <c r="G68" s="38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</row>
    <row r="69" spans="1:24" ht="15.75" customHeight="1">
      <c r="A69" s="37"/>
      <c r="B69" s="38"/>
      <c r="C69" s="38"/>
      <c r="D69" s="38"/>
      <c r="E69" s="38"/>
      <c r="F69" s="38"/>
      <c r="G69" s="38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</row>
    <row r="70" spans="1:24" ht="15.75" customHeight="1">
      <c r="A70" s="37"/>
      <c r="B70" s="38"/>
      <c r="C70" s="38"/>
      <c r="D70" s="38"/>
      <c r="E70" s="38"/>
      <c r="F70" s="38"/>
      <c r="G70" s="38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</row>
    <row r="71" spans="1:24" ht="15.75" customHeight="1">
      <c r="A71" s="37"/>
      <c r="B71" s="38"/>
      <c r="C71" s="38"/>
      <c r="D71" s="38"/>
      <c r="E71" s="38"/>
      <c r="F71" s="38"/>
      <c r="G71" s="38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</row>
    <row r="72" spans="1:24" ht="15.75" customHeight="1">
      <c r="A72" s="37"/>
      <c r="B72" s="38"/>
      <c r="C72" s="38"/>
      <c r="D72" s="38"/>
      <c r="E72" s="38"/>
      <c r="F72" s="38"/>
      <c r="G72" s="38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</row>
    <row r="73" spans="1:24" ht="15.75" customHeight="1">
      <c r="A73" s="37"/>
      <c r="B73" s="38"/>
      <c r="C73" s="38"/>
      <c r="D73" s="38"/>
      <c r="E73" s="38"/>
      <c r="F73" s="38"/>
      <c r="G73" s="38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</row>
    <row r="74" spans="1:24" ht="15.75" customHeight="1">
      <c r="A74" s="37"/>
      <c r="B74" s="38"/>
      <c r="C74" s="38"/>
      <c r="D74" s="38"/>
      <c r="E74" s="38"/>
      <c r="F74" s="38"/>
      <c r="G74" s="38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</row>
    <row r="75" spans="1:24" ht="15.75" customHeight="1">
      <c r="A75" s="37"/>
      <c r="B75" s="38"/>
      <c r="C75" s="38"/>
      <c r="D75" s="38"/>
      <c r="E75" s="38"/>
      <c r="F75" s="38"/>
      <c r="G75" s="38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</row>
    <row r="76" spans="1:24" ht="15.75" customHeight="1">
      <c r="A76" s="37"/>
      <c r="B76" s="38"/>
      <c r="C76" s="38"/>
      <c r="D76" s="38"/>
      <c r="E76" s="38"/>
      <c r="F76" s="38"/>
      <c r="G76" s="38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</row>
    <row r="77" spans="1:24" ht="15.75" customHeight="1">
      <c r="A77" s="37"/>
      <c r="B77" s="38"/>
      <c r="C77" s="38"/>
      <c r="D77" s="38"/>
      <c r="E77" s="38"/>
      <c r="F77" s="38"/>
      <c r="G77" s="38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</row>
    <row r="78" spans="1:24" ht="15.75" customHeight="1">
      <c r="A78" s="37"/>
      <c r="B78" s="38"/>
      <c r="C78" s="38"/>
      <c r="D78" s="38"/>
      <c r="E78" s="38"/>
      <c r="F78" s="38"/>
      <c r="G78" s="38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</row>
    <row r="79" spans="1:24" ht="15.75" customHeight="1">
      <c r="A79" s="37"/>
      <c r="B79" s="38"/>
      <c r="C79" s="38"/>
      <c r="D79" s="38"/>
      <c r="E79" s="38"/>
      <c r="F79" s="38"/>
      <c r="G79" s="38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</row>
    <row r="80" spans="1:24" ht="15.75" customHeight="1">
      <c r="A80" s="37"/>
      <c r="B80" s="38"/>
      <c r="C80" s="38"/>
      <c r="D80" s="38"/>
      <c r="E80" s="38"/>
      <c r="F80" s="38"/>
      <c r="G80" s="38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</row>
    <row r="81" spans="1:24" ht="15.75" customHeight="1">
      <c r="A81" s="37"/>
      <c r="B81" s="38"/>
      <c r="C81" s="38"/>
      <c r="D81" s="38"/>
      <c r="E81" s="38"/>
      <c r="F81" s="38"/>
      <c r="G81" s="38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</row>
    <row r="82" spans="1:24" ht="15.75" customHeight="1">
      <c r="A82" s="37"/>
      <c r="B82" s="38"/>
      <c r="C82" s="38"/>
      <c r="D82" s="38"/>
      <c r="E82" s="38"/>
      <c r="F82" s="38"/>
      <c r="G82" s="38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</row>
    <row r="83" spans="1:24" ht="15.75" customHeight="1">
      <c r="A83" s="37"/>
      <c r="B83" s="38"/>
      <c r="C83" s="38"/>
      <c r="D83" s="38"/>
      <c r="E83" s="38"/>
      <c r="F83" s="38"/>
      <c r="G83" s="38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</row>
    <row r="84" spans="1:24" ht="15.75" customHeight="1">
      <c r="A84" s="37"/>
      <c r="B84" s="38"/>
      <c r="C84" s="38"/>
      <c r="D84" s="38"/>
      <c r="E84" s="38"/>
      <c r="F84" s="38"/>
      <c r="G84" s="38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</row>
    <row r="85" spans="1:24" ht="15.75" customHeight="1">
      <c r="A85" s="37"/>
      <c r="B85" s="38"/>
      <c r="C85" s="38"/>
      <c r="D85" s="38"/>
      <c r="E85" s="38"/>
      <c r="F85" s="38"/>
      <c r="G85" s="38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</row>
    <row r="86" spans="1:24" ht="15.75" customHeight="1">
      <c r="A86" s="37"/>
      <c r="B86" s="38"/>
      <c r="C86" s="38"/>
      <c r="D86" s="38"/>
      <c r="E86" s="38"/>
      <c r="F86" s="38"/>
      <c r="G86" s="38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</row>
    <row r="87" spans="1:24" ht="15.75" customHeight="1">
      <c r="A87" s="37"/>
      <c r="B87" s="38"/>
      <c r="C87" s="38"/>
      <c r="D87" s="38"/>
      <c r="E87" s="38"/>
      <c r="F87" s="38"/>
      <c r="G87" s="38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</row>
    <row r="88" spans="1:24" ht="15.75" customHeight="1">
      <c r="A88" s="37"/>
      <c r="B88" s="38"/>
      <c r="C88" s="38"/>
      <c r="D88" s="38"/>
      <c r="E88" s="38"/>
      <c r="F88" s="38"/>
      <c r="G88" s="38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</row>
    <row r="89" spans="1:24" ht="15.75" customHeight="1">
      <c r="A89" s="37"/>
      <c r="B89" s="38"/>
      <c r="C89" s="38"/>
      <c r="D89" s="38"/>
      <c r="E89" s="38"/>
      <c r="F89" s="38"/>
      <c r="G89" s="38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</row>
    <row r="90" spans="1:24" ht="15.75" customHeight="1">
      <c r="A90" s="37"/>
      <c r="B90" s="38"/>
      <c r="C90" s="38"/>
      <c r="D90" s="38"/>
      <c r="E90" s="38"/>
      <c r="F90" s="38"/>
      <c r="G90" s="38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</row>
    <row r="91" spans="1:24" ht="15.75" customHeight="1">
      <c r="A91" s="37"/>
      <c r="B91" s="38"/>
      <c r="C91" s="38"/>
      <c r="D91" s="38"/>
      <c r="E91" s="38"/>
      <c r="F91" s="38"/>
      <c r="G91" s="38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</row>
    <row r="92" spans="1:24" ht="15.75" customHeight="1">
      <c r="A92" s="37"/>
      <c r="B92" s="38"/>
      <c r="C92" s="38"/>
      <c r="D92" s="38"/>
      <c r="E92" s="38"/>
      <c r="F92" s="38"/>
      <c r="G92" s="38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</row>
    <row r="93" spans="1:24" ht="15.75" customHeight="1">
      <c r="A93" s="37"/>
      <c r="B93" s="38"/>
      <c r="C93" s="38"/>
      <c r="D93" s="38"/>
      <c r="E93" s="38"/>
      <c r="F93" s="38"/>
      <c r="G93" s="38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</row>
    <row r="94" spans="1:24" ht="15.75" customHeight="1">
      <c r="A94" s="37"/>
      <c r="B94" s="38"/>
      <c r="C94" s="38"/>
      <c r="D94" s="38"/>
      <c r="E94" s="38"/>
      <c r="F94" s="38"/>
      <c r="G94" s="38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</row>
    <row r="95" spans="1:24" ht="15.75" customHeight="1">
      <c r="A95" s="37"/>
      <c r="B95" s="38"/>
      <c r="C95" s="38"/>
      <c r="D95" s="38"/>
      <c r="E95" s="38"/>
      <c r="F95" s="38"/>
      <c r="G95" s="38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</row>
    <row r="96" spans="1:24" ht="15.75" customHeight="1">
      <c r="A96" s="37"/>
      <c r="B96" s="38"/>
      <c r="C96" s="38"/>
      <c r="D96" s="38"/>
      <c r="E96" s="38"/>
      <c r="F96" s="38"/>
      <c r="G96" s="38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</row>
    <row r="97" spans="1:24" ht="15.75" customHeight="1">
      <c r="A97" s="37"/>
      <c r="B97" s="38"/>
      <c r="C97" s="38"/>
      <c r="D97" s="38"/>
      <c r="E97" s="38"/>
      <c r="F97" s="38"/>
      <c r="G97" s="38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</row>
    <row r="98" spans="1:24" ht="15.75" customHeight="1">
      <c r="A98" s="37"/>
      <c r="B98" s="38"/>
      <c r="C98" s="38"/>
      <c r="D98" s="38"/>
      <c r="E98" s="38"/>
      <c r="F98" s="38"/>
      <c r="G98" s="38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</row>
    <row r="99" spans="1:24" ht="15.75" customHeight="1">
      <c r="A99" s="37"/>
      <c r="B99" s="38"/>
      <c r="C99" s="38"/>
      <c r="D99" s="38"/>
      <c r="E99" s="38"/>
      <c r="F99" s="38"/>
      <c r="G99" s="38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</row>
    <row r="100" spans="1:24" ht="15.75" customHeight="1">
      <c r="A100" s="37"/>
      <c r="B100" s="38"/>
      <c r="C100" s="38"/>
      <c r="D100" s="38"/>
      <c r="E100" s="38"/>
      <c r="F100" s="38"/>
      <c r="G100" s="38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</row>
    <row r="101" spans="1:24" ht="15.75" customHeight="1">
      <c r="A101" s="37"/>
      <c r="B101" s="38"/>
      <c r="C101" s="38"/>
      <c r="D101" s="38"/>
      <c r="E101" s="38"/>
      <c r="F101" s="38"/>
      <c r="G101" s="38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</row>
    <row r="102" spans="1:24" ht="15.75" customHeight="1">
      <c r="A102" s="37"/>
      <c r="B102" s="38"/>
      <c r="C102" s="38"/>
      <c r="D102" s="38"/>
      <c r="E102" s="38"/>
      <c r="F102" s="38"/>
      <c r="G102" s="38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</row>
    <row r="103" spans="1:24" ht="15.75" customHeight="1">
      <c r="A103" s="37"/>
      <c r="B103" s="38"/>
      <c r="C103" s="38"/>
      <c r="D103" s="38"/>
      <c r="E103" s="38"/>
      <c r="F103" s="38"/>
      <c r="G103" s="38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</row>
    <row r="104" spans="1:24" ht="15.75" customHeight="1">
      <c r="A104" s="37"/>
      <c r="B104" s="38"/>
      <c r="C104" s="38"/>
      <c r="D104" s="38"/>
      <c r="E104" s="38"/>
      <c r="F104" s="38"/>
      <c r="G104" s="38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</row>
    <row r="105" spans="1:24" ht="15.75" customHeight="1">
      <c r="A105" s="37"/>
      <c r="B105" s="38"/>
      <c r="C105" s="38"/>
      <c r="D105" s="38"/>
      <c r="E105" s="38"/>
      <c r="F105" s="38"/>
      <c r="G105" s="38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</row>
    <row r="106" spans="1:24" ht="15.75" customHeight="1">
      <c r="A106" s="37"/>
      <c r="B106" s="38"/>
      <c r="C106" s="38"/>
      <c r="D106" s="38"/>
      <c r="E106" s="38"/>
      <c r="F106" s="38"/>
      <c r="G106" s="38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</row>
    <row r="107" spans="1:24" ht="15.75" customHeight="1">
      <c r="A107" s="37"/>
      <c r="B107" s="38"/>
      <c r="C107" s="38"/>
      <c r="D107" s="38"/>
      <c r="E107" s="38"/>
      <c r="F107" s="38"/>
      <c r="G107" s="38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</row>
    <row r="108" spans="1:24" ht="15.75" customHeight="1">
      <c r="A108" s="37"/>
      <c r="B108" s="38"/>
      <c r="C108" s="38"/>
      <c r="D108" s="38"/>
      <c r="E108" s="38"/>
      <c r="F108" s="38"/>
      <c r="G108" s="38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</row>
    <row r="109" spans="1:24" ht="15.75" customHeight="1">
      <c r="A109" s="37"/>
      <c r="B109" s="38"/>
      <c r="C109" s="38"/>
      <c r="D109" s="38"/>
      <c r="E109" s="38"/>
      <c r="F109" s="38"/>
      <c r="G109" s="38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</row>
    <row r="110" spans="1:24" ht="15.75" customHeight="1">
      <c r="A110" s="37"/>
      <c r="B110" s="38"/>
      <c r="C110" s="38"/>
      <c r="D110" s="38"/>
      <c r="E110" s="38"/>
      <c r="F110" s="38"/>
      <c r="G110" s="38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</row>
    <row r="111" spans="1:24" ht="15.75" customHeight="1">
      <c r="A111" s="37"/>
      <c r="B111" s="38"/>
      <c r="C111" s="38"/>
      <c r="D111" s="38"/>
      <c r="E111" s="38"/>
      <c r="F111" s="38"/>
      <c r="G111" s="38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</row>
    <row r="112" spans="1:24" ht="15.75" customHeight="1">
      <c r="A112" s="37"/>
      <c r="B112" s="38"/>
      <c r="C112" s="38"/>
      <c r="D112" s="38"/>
      <c r="E112" s="38"/>
      <c r="F112" s="38"/>
      <c r="G112" s="38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</row>
    <row r="113" spans="1:24" ht="15.75" customHeight="1">
      <c r="A113" s="37"/>
      <c r="B113" s="38"/>
      <c r="C113" s="38"/>
      <c r="D113" s="38"/>
      <c r="E113" s="38"/>
      <c r="F113" s="38"/>
      <c r="G113" s="38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</row>
    <row r="114" spans="1:24" ht="15.75" customHeight="1">
      <c r="A114" s="37"/>
      <c r="B114" s="38"/>
      <c r="C114" s="38"/>
      <c r="D114" s="38"/>
      <c r="E114" s="38"/>
      <c r="F114" s="38"/>
      <c r="G114" s="38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</row>
    <row r="115" spans="1:24" ht="15.75" customHeight="1">
      <c r="A115" s="37"/>
      <c r="B115" s="38"/>
      <c r="C115" s="38"/>
      <c r="D115" s="38"/>
      <c r="E115" s="38"/>
      <c r="F115" s="38"/>
      <c r="G115" s="38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</row>
    <row r="116" spans="1:24" ht="15.75" customHeight="1">
      <c r="A116" s="37"/>
      <c r="B116" s="38"/>
      <c r="C116" s="38"/>
      <c r="D116" s="38"/>
      <c r="E116" s="38"/>
      <c r="F116" s="38"/>
      <c r="G116" s="38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</row>
    <row r="117" spans="1:24" ht="15.75" customHeight="1">
      <c r="A117" s="37"/>
      <c r="B117" s="38"/>
      <c r="C117" s="38"/>
      <c r="D117" s="38"/>
      <c r="E117" s="38"/>
      <c r="F117" s="38"/>
      <c r="G117" s="38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</row>
    <row r="118" spans="1:24" ht="15.75" customHeight="1">
      <c r="A118" s="37"/>
      <c r="B118" s="38"/>
      <c r="C118" s="38"/>
      <c r="D118" s="38"/>
      <c r="E118" s="38"/>
      <c r="F118" s="38"/>
      <c r="G118" s="38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</row>
    <row r="119" spans="1:24" ht="15.75" customHeight="1">
      <c r="A119" s="37"/>
      <c r="B119" s="38"/>
      <c r="C119" s="38"/>
      <c r="D119" s="38"/>
      <c r="E119" s="38"/>
      <c r="F119" s="38"/>
      <c r="G119" s="38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</row>
    <row r="120" spans="1:24" ht="15.75" customHeight="1">
      <c r="A120" s="37"/>
      <c r="B120" s="38"/>
      <c r="C120" s="38"/>
      <c r="D120" s="38"/>
      <c r="E120" s="38"/>
      <c r="F120" s="38"/>
      <c r="G120" s="38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</row>
    <row r="121" spans="1:24" ht="15.75" customHeight="1">
      <c r="A121" s="37"/>
      <c r="B121" s="38"/>
      <c r="C121" s="38"/>
      <c r="D121" s="38"/>
      <c r="E121" s="38"/>
      <c r="F121" s="38"/>
      <c r="G121" s="38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</row>
    <row r="122" spans="1:24" ht="15.75" customHeight="1">
      <c r="A122" s="37"/>
      <c r="B122" s="38"/>
      <c r="C122" s="38"/>
      <c r="D122" s="38"/>
      <c r="E122" s="38"/>
      <c r="F122" s="38"/>
      <c r="G122" s="38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</row>
    <row r="123" spans="1:24" ht="15.75" customHeight="1">
      <c r="A123" s="37"/>
      <c r="B123" s="38"/>
      <c r="C123" s="38"/>
      <c r="D123" s="38"/>
      <c r="E123" s="38"/>
      <c r="F123" s="38"/>
      <c r="G123" s="38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</row>
    <row r="124" spans="1:24" ht="15.75" customHeight="1">
      <c r="A124" s="37"/>
      <c r="B124" s="38"/>
      <c r="C124" s="38"/>
      <c r="D124" s="38"/>
      <c r="E124" s="38"/>
      <c r="F124" s="38"/>
      <c r="G124" s="38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</row>
    <row r="125" spans="1:24" ht="15.75" customHeight="1">
      <c r="A125" s="37"/>
      <c r="B125" s="38"/>
      <c r="C125" s="38"/>
      <c r="D125" s="38"/>
      <c r="E125" s="38"/>
      <c r="F125" s="38"/>
      <c r="G125" s="38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</row>
    <row r="126" spans="1:24" ht="15.75" customHeight="1">
      <c r="A126" s="37"/>
      <c r="B126" s="38"/>
      <c r="C126" s="38"/>
      <c r="D126" s="38"/>
      <c r="E126" s="38"/>
      <c r="F126" s="38"/>
      <c r="G126" s="38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</row>
    <row r="127" spans="1:24" ht="15.75" customHeight="1">
      <c r="A127" s="37"/>
      <c r="B127" s="38"/>
      <c r="C127" s="38"/>
      <c r="D127" s="38"/>
      <c r="E127" s="38"/>
      <c r="F127" s="38"/>
      <c r="G127" s="38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</row>
    <row r="128" spans="1:24" ht="15.75" customHeight="1">
      <c r="A128" s="37"/>
      <c r="B128" s="38"/>
      <c r="C128" s="38"/>
      <c r="D128" s="38"/>
      <c r="E128" s="38"/>
      <c r="F128" s="38"/>
      <c r="G128" s="38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15.75" customHeight="1">
      <c r="A129" s="37"/>
      <c r="B129" s="38"/>
      <c r="C129" s="38"/>
      <c r="D129" s="38"/>
      <c r="E129" s="38"/>
      <c r="F129" s="38"/>
      <c r="G129" s="38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</row>
    <row r="130" spans="1:24" ht="15.75" customHeight="1">
      <c r="A130" s="37"/>
      <c r="B130" s="38"/>
      <c r="C130" s="38"/>
      <c r="D130" s="38"/>
      <c r="E130" s="38"/>
      <c r="F130" s="38"/>
      <c r="G130" s="38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</row>
    <row r="131" spans="1:24" ht="15.75" customHeight="1">
      <c r="A131" s="37"/>
      <c r="B131" s="38"/>
      <c r="C131" s="38"/>
      <c r="D131" s="38"/>
      <c r="E131" s="38"/>
      <c r="F131" s="38"/>
      <c r="G131" s="38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.75" customHeight="1">
      <c r="A132" s="37"/>
      <c r="B132" s="38"/>
      <c r="C132" s="38"/>
      <c r="D132" s="38"/>
      <c r="E132" s="38"/>
      <c r="F132" s="38"/>
      <c r="G132" s="38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.75" customHeight="1">
      <c r="A133" s="37"/>
      <c r="B133" s="38"/>
      <c r="C133" s="38"/>
      <c r="D133" s="38"/>
      <c r="E133" s="38"/>
      <c r="F133" s="38"/>
      <c r="G133" s="38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.75" customHeight="1">
      <c r="A134" s="37"/>
      <c r="B134" s="38"/>
      <c r="C134" s="38"/>
      <c r="D134" s="38"/>
      <c r="E134" s="38"/>
      <c r="F134" s="38"/>
      <c r="G134" s="38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.75" customHeight="1">
      <c r="A135" s="37"/>
      <c r="B135" s="38"/>
      <c r="C135" s="38"/>
      <c r="D135" s="38"/>
      <c r="E135" s="38"/>
      <c r="F135" s="38"/>
      <c r="G135" s="38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.75" customHeight="1">
      <c r="A136" s="37"/>
      <c r="B136" s="38"/>
      <c r="C136" s="38"/>
      <c r="D136" s="38"/>
      <c r="E136" s="38"/>
      <c r="F136" s="38"/>
      <c r="G136" s="38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.75" customHeight="1">
      <c r="A137" s="37"/>
      <c r="B137" s="38"/>
      <c r="C137" s="38"/>
      <c r="D137" s="38"/>
      <c r="E137" s="38"/>
      <c r="F137" s="38"/>
      <c r="G137" s="38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.75" customHeight="1">
      <c r="A138" s="37"/>
      <c r="B138" s="38"/>
      <c r="C138" s="38"/>
      <c r="D138" s="38"/>
      <c r="E138" s="38"/>
      <c r="F138" s="38"/>
      <c r="G138" s="38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.75" customHeight="1">
      <c r="A139" s="37"/>
      <c r="B139" s="38"/>
      <c r="C139" s="38"/>
      <c r="D139" s="38"/>
      <c r="E139" s="38"/>
      <c r="F139" s="38"/>
      <c r="G139" s="38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.75" customHeight="1">
      <c r="A140" s="37"/>
      <c r="B140" s="38"/>
      <c r="C140" s="38"/>
      <c r="D140" s="38"/>
      <c r="E140" s="38"/>
      <c r="F140" s="38"/>
      <c r="G140" s="38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.75" customHeight="1">
      <c r="A141" s="37"/>
      <c r="B141" s="38"/>
      <c r="C141" s="38"/>
      <c r="D141" s="38"/>
      <c r="E141" s="38"/>
      <c r="F141" s="38"/>
      <c r="G141" s="38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.75" customHeight="1">
      <c r="A142" s="37"/>
      <c r="B142" s="38"/>
      <c r="C142" s="38"/>
      <c r="D142" s="38"/>
      <c r="E142" s="38"/>
      <c r="F142" s="38"/>
      <c r="G142" s="38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.75" customHeight="1">
      <c r="A143" s="37"/>
      <c r="B143" s="38"/>
      <c r="C143" s="38"/>
      <c r="D143" s="38"/>
      <c r="E143" s="38"/>
      <c r="F143" s="38"/>
      <c r="G143" s="38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.75" customHeight="1">
      <c r="A144" s="37"/>
      <c r="B144" s="38"/>
      <c r="C144" s="38"/>
      <c r="D144" s="38"/>
      <c r="E144" s="38"/>
      <c r="F144" s="38"/>
      <c r="G144" s="38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.75" customHeight="1">
      <c r="A145" s="37"/>
      <c r="B145" s="38"/>
      <c r="C145" s="38"/>
      <c r="D145" s="38"/>
      <c r="E145" s="38"/>
      <c r="F145" s="38"/>
      <c r="G145" s="38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.75" customHeight="1">
      <c r="A146" s="37"/>
      <c r="B146" s="38"/>
      <c r="C146" s="38"/>
      <c r="D146" s="38"/>
      <c r="E146" s="38"/>
      <c r="F146" s="38"/>
      <c r="G146" s="38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.75" customHeight="1">
      <c r="A147" s="37"/>
      <c r="B147" s="38"/>
      <c r="C147" s="38"/>
      <c r="D147" s="38"/>
      <c r="E147" s="38"/>
      <c r="F147" s="38"/>
      <c r="G147" s="38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.75" customHeight="1">
      <c r="A148" s="37"/>
      <c r="B148" s="38"/>
      <c r="C148" s="38"/>
      <c r="D148" s="38"/>
      <c r="E148" s="38"/>
      <c r="F148" s="38"/>
      <c r="G148" s="38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.75" customHeight="1">
      <c r="A149" s="37"/>
      <c r="B149" s="38"/>
      <c r="C149" s="38"/>
      <c r="D149" s="38"/>
      <c r="E149" s="38"/>
      <c r="F149" s="38"/>
      <c r="G149" s="38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.75" customHeight="1">
      <c r="A150" s="37"/>
      <c r="B150" s="38"/>
      <c r="C150" s="38"/>
      <c r="D150" s="38"/>
      <c r="E150" s="38"/>
      <c r="F150" s="38"/>
      <c r="G150" s="38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.75" customHeight="1">
      <c r="A151" s="37"/>
      <c r="B151" s="38"/>
      <c r="C151" s="38"/>
      <c r="D151" s="38"/>
      <c r="E151" s="38"/>
      <c r="F151" s="38"/>
      <c r="G151" s="38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.75" customHeight="1">
      <c r="A152" s="37"/>
      <c r="B152" s="38"/>
      <c r="C152" s="38"/>
      <c r="D152" s="38"/>
      <c r="E152" s="38"/>
      <c r="F152" s="38"/>
      <c r="G152" s="38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.75" customHeight="1">
      <c r="A153" s="37"/>
      <c r="B153" s="38"/>
      <c r="C153" s="38"/>
      <c r="D153" s="38"/>
      <c r="E153" s="38"/>
      <c r="F153" s="38"/>
      <c r="G153" s="38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.75" customHeight="1">
      <c r="A154" s="37"/>
      <c r="B154" s="38"/>
      <c r="C154" s="38"/>
      <c r="D154" s="38"/>
      <c r="E154" s="38"/>
      <c r="F154" s="38"/>
      <c r="G154" s="38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.75" customHeight="1">
      <c r="A155" s="37"/>
      <c r="B155" s="38"/>
      <c r="C155" s="38"/>
      <c r="D155" s="38"/>
      <c r="E155" s="38"/>
      <c r="F155" s="38"/>
      <c r="G155" s="38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.75" customHeight="1">
      <c r="A156" s="37"/>
      <c r="B156" s="38"/>
      <c r="C156" s="38"/>
      <c r="D156" s="38"/>
      <c r="E156" s="38"/>
      <c r="F156" s="38"/>
      <c r="G156" s="38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.75" customHeight="1">
      <c r="A157" s="37"/>
      <c r="B157" s="38"/>
      <c r="C157" s="38"/>
      <c r="D157" s="38"/>
      <c r="E157" s="38"/>
      <c r="F157" s="38"/>
      <c r="G157" s="38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.75" customHeight="1">
      <c r="A158" s="37"/>
      <c r="B158" s="38"/>
      <c r="C158" s="38"/>
      <c r="D158" s="38"/>
      <c r="E158" s="38"/>
      <c r="F158" s="38"/>
      <c r="G158" s="38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.75" customHeight="1">
      <c r="A159" s="37"/>
      <c r="B159" s="38"/>
      <c r="C159" s="38"/>
      <c r="D159" s="38"/>
      <c r="E159" s="38"/>
      <c r="F159" s="38"/>
      <c r="G159" s="38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.75" customHeight="1">
      <c r="A160" s="37"/>
      <c r="B160" s="38"/>
      <c r="C160" s="38"/>
      <c r="D160" s="38"/>
      <c r="E160" s="38"/>
      <c r="F160" s="38"/>
      <c r="G160" s="38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.75" customHeight="1">
      <c r="A161" s="37"/>
      <c r="B161" s="38"/>
      <c r="C161" s="38"/>
      <c r="D161" s="38"/>
      <c r="E161" s="38"/>
      <c r="F161" s="38"/>
      <c r="G161" s="38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.75" customHeight="1">
      <c r="A162" s="37"/>
      <c r="B162" s="38"/>
      <c r="C162" s="38"/>
      <c r="D162" s="38"/>
      <c r="E162" s="38"/>
      <c r="F162" s="38"/>
      <c r="G162" s="38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.75" customHeight="1">
      <c r="A163" s="37"/>
      <c r="B163" s="38"/>
      <c r="C163" s="38"/>
      <c r="D163" s="38"/>
      <c r="E163" s="38"/>
      <c r="F163" s="38"/>
      <c r="G163" s="38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.75" customHeight="1">
      <c r="A164" s="37"/>
      <c r="B164" s="38"/>
      <c r="C164" s="38"/>
      <c r="D164" s="38"/>
      <c r="E164" s="38"/>
      <c r="F164" s="38"/>
      <c r="G164" s="38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.75" customHeight="1">
      <c r="A165" s="37"/>
      <c r="B165" s="38"/>
      <c r="C165" s="38"/>
      <c r="D165" s="38"/>
      <c r="E165" s="38"/>
      <c r="F165" s="38"/>
      <c r="G165" s="38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.75" customHeight="1">
      <c r="A166" s="37"/>
      <c r="B166" s="38"/>
      <c r="C166" s="38"/>
      <c r="D166" s="38"/>
      <c r="E166" s="38"/>
      <c r="F166" s="38"/>
      <c r="G166" s="38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.75" customHeight="1">
      <c r="A167" s="37"/>
      <c r="B167" s="38"/>
      <c r="C167" s="38"/>
      <c r="D167" s="38"/>
      <c r="E167" s="38"/>
      <c r="F167" s="38"/>
      <c r="G167" s="38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.75" customHeight="1">
      <c r="A168" s="37"/>
      <c r="B168" s="38"/>
      <c r="C168" s="38"/>
      <c r="D168" s="38"/>
      <c r="E168" s="38"/>
      <c r="F168" s="38"/>
      <c r="G168" s="38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.75" customHeight="1">
      <c r="A169" s="37"/>
      <c r="B169" s="38"/>
      <c r="C169" s="38"/>
      <c r="D169" s="38"/>
      <c r="E169" s="38"/>
      <c r="F169" s="38"/>
      <c r="G169" s="38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.75" customHeight="1">
      <c r="A170" s="37"/>
      <c r="B170" s="38"/>
      <c r="C170" s="38"/>
      <c r="D170" s="38"/>
      <c r="E170" s="38"/>
      <c r="F170" s="38"/>
      <c r="G170" s="38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.75" customHeight="1">
      <c r="A171" s="37"/>
      <c r="B171" s="38"/>
      <c r="C171" s="38"/>
      <c r="D171" s="38"/>
      <c r="E171" s="38"/>
      <c r="F171" s="38"/>
      <c r="G171" s="38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.75" customHeight="1">
      <c r="A172" s="37"/>
      <c r="B172" s="38"/>
      <c r="C172" s="38"/>
      <c r="D172" s="38"/>
      <c r="E172" s="38"/>
      <c r="F172" s="38"/>
      <c r="G172" s="38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.75" customHeight="1">
      <c r="A173" s="37"/>
      <c r="B173" s="38"/>
      <c r="C173" s="38"/>
      <c r="D173" s="38"/>
      <c r="E173" s="38"/>
      <c r="F173" s="38"/>
      <c r="G173" s="38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.75" customHeight="1">
      <c r="A174" s="37"/>
      <c r="B174" s="38"/>
      <c r="C174" s="38"/>
      <c r="D174" s="38"/>
      <c r="E174" s="38"/>
      <c r="F174" s="38"/>
      <c r="G174" s="38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.75" customHeight="1">
      <c r="A175" s="37"/>
      <c r="B175" s="38"/>
      <c r="C175" s="38"/>
      <c r="D175" s="38"/>
      <c r="E175" s="38"/>
      <c r="F175" s="38"/>
      <c r="G175" s="38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.75" customHeight="1">
      <c r="A176" s="37"/>
      <c r="B176" s="38"/>
      <c r="C176" s="38"/>
      <c r="D176" s="38"/>
      <c r="E176" s="38"/>
      <c r="F176" s="38"/>
      <c r="G176" s="38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.75" customHeight="1">
      <c r="A177" s="37"/>
      <c r="B177" s="38"/>
      <c r="C177" s="38"/>
      <c r="D177" s="38"/>
      <c r="E177" s="38"/>
      <c r="F177" s="38"/>
      <c r="G177" s="38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.75" customHeight="1">
      <c r="A178" s="37"/>
      <c r="B178" s="38"/>
      <c r="C178" s="38"/>
      <c r="D178" s="38"/>
      <c r="E178" s="38"/>
      <c r="F178" s="38"/>
      <c r="G178" s="38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.75" customHeight="1">
      <c r="A179" s="37"/>
      <c r="B179" s="38"/>
      <c r="C179" s="38"/>
      <c r="D179" s="38"/>
      <c r="E179" s="38"/>
      <c r="F179" s="38"/>
      <c r="G179" s="38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.75" customHeight="1">
      <c r="A180" s="37"/>
      <c r="B180" s="38"/>
      <c r="C180" s="38"/>
      <c r="D180" s="38"/>
      <c r="E180" s="38"/>
      <c r="F180" s="38"/>
      <c r="G180" s="38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.75" customHeight="1">
      <c r="A181" s="37"/>
      <c r="B181" s="38"/>
      <c r="C181" s="38"/>
      <c r="D181" s="38"/>
      <c r="E181" s="38"/>
      <c r="F181" s="38"/>
      <c r="G181" s="38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.75" customHeight="1">
      <c r="A182" s="37"/>
      <c r="B182" s="38"/>
      <c r="C182" s="38"/>
      <c r="D182" s="38"/>
      <c r="E182" s="38"/>
      <c r="F182" s="38"/>
      <c r="G182" s="38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.75" customHeight="1">
      <c r="A183" s="37"/>
      <c r="B183" s="38"/>
      <c r="C183" s="38"/>
      <c r="D183" s="38"/>
      <c r="E183" s="38"/>
      <c r="F183" s="38"/>
      <c r="G183" s="38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.75" customHeight="1">
      <c r="A184" s="37"/>
      <c r="B184" s="38"/>
      <c r="C184" s="38"/>
      <c r="D184" s="38"/>
      <c r="E184" s="38"/>
      <c r="F184" s="38"/>
      <c r="G184" s="38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.75" customHeight="1">
      <c r="A185" s="37"/>
      <c r="B185" s="38"/>
      <c r="C185" s="38"/>
      <c r="D185" s="38"/>
      <c r="E185" s="38"/>
      <c r="F185" s="38"/>
      <c r="G185" s="38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.75" customHeight="1">
      <c r="A186" s="37"/>
      <c r="B186" s="38"/>
      <c r="C186" s="38"/>
      <c r="D186" s="38"/>
      <c r="E186" s="38"/>
      <c r="F186" s="38"/>
      <c r="G186" s="38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.75" customHeight="1">
      <c r="A187" s="37"/>
      <c r="B187" s="38"/>
      <c r="C187" s="38"/>
      <c r="D187" s="38"/>
      <c r="E187" s="38"/>
      <c r="F187" s="38"/>
      <c r="G187" s="38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.75" customHeight="1">
      <c r="A188" s="37"/>
      <c r="B188" s="38"/>
      <c r="C188" s="38"/>
      <c r="D188" s="38"/>
      <c r="E188" s="38"/>
      <c r="F188" s="38"/>
      <c r="G188" s="38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ht="15.75" customHeight="1">
      <c r="A189" s="37"/>
      <c r="B189" s="38"/>
      <c r="C189" s="38"/>
      <c r="D189" s="38"/>
      <c r="E189" s="38"/>
      <c r="F189" s="38"/>
      <c r="G189" s="38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ht="15.75" customHeight="1">
      <c r="A190" s="37"/>
      <c r="B190" s="38"/>
      <c r="C190" s="38"/>
      <c r="D190" s="38"/>
      <c r="E190" s="38"/>
      <c r="F190" s="38"/>
      <c r="G190" s="38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ht="15.75" customHeight="1">
      <c r="A191" s="37"/>
      <c r="B191" s="38"/>
      <c r="C191" s="38"/>
      <c r="D191" s="38"/>
      <c r="E191" s="38"/>
      <c r="F191" s="38"/>
      <c r="G191" s="38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ht="15.75" customHeight="1">
      <c r="A192" s="37"/>
      <c r="B192" s="38"/>
      <c r="C192" s="38"/>
      <c r="D192" s="38"/>
      <c r="E192" s="38"/>
      <c r="F192" s="38"/>
      <c r="G192" s="38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ht="15.75" customHeight="1">
      <c r="A193" s="37"/>
      <c r="B193" s="38"/>
      <c r="C193" s="38"/>
      <c r="D193" s="38"/>
      <c r="E193" s="38"/>
      <c r="F193" s="38"/>
      <c r="G193" s="38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ht="15.75" customHeight="1">
      <c r="A194" s="37"/>
      <c r="B194" s="38"/>
      <c r="C194" s="38"/>
      <c r="D194" s="38"/>
      <c r="E194" s="38"/>
      <c r="F194" s="38"/>
      <c r="G194" s="38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ht="15.75" customHeight="1">
      <c r="A195" s="37"/>
      <c r="B195" s="38"/>
      <c r="C195" s="38"/>
      <c r="D195" s="38"/>
      <c r="E195" s="38"/>
      <c r="F195" s="38"/>
      <c r="G195" s="38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ht="15.75" customHeight="1">
      <c r="A196" s="37"/>
      <c r="B196" s="38"/>
      <c r="C196" s="38"/>
      <c r="D196" s="38"/>
      <c r="E196" s="38"/>
      <c r="F196" s="38"/>
      <c r="G196" s="38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ht="15.75" customHeight="1">
      <c r="A197" s="37"/>
      <c r="B197" s="38"/>
      <c r="C197" s="38"/>
      <c r="D197" s="38"/>
      <c r="E197" s="38"/>
      <c r="F197" s="38"/>
      <c r="G197" s="38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ht="15.75" customHeight="1">
      <c r="A198" s="37"/>
      <c r="B198" s="38"/>
      <c r="C198" s="38"/>
      <c r="D198" s="38"/>
      <c r="E198" s="38"/>
      <c r="F198" s="38"/>
      <c r="G198" s="38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ht="15.75" customHeight="1">
      <c r="A199" s="37"/>
      <c r="B199" s="38"/>
      <c r="C199" s="38"/>
      <c r="D199" s="38"/>
      <c r="E199" s="38"/>
      <c r="F199" s="38"/>
      <c r="G199" s="38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ht="15.75" customHeight="1">
      <c r="A200" s="37"/>
      <c r="B200" s="38"/>
      <c r="C200" s="38"/>
      <c r="D200" s="38"/>
      <c r="E200" s="38"/>
      <c r="F200" s="38"/>
      <c r="G200" s="38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ht="15.75" customHeight="1">
      <c r="A201" s="37"/>
      <c r="B201" s="38"/>
      <c r="C201" s="38"/>
      <c r="D201" s="38"/>
      <c r="E201" s="38"/>
      <c r="F201" s="38"/>
      <c r="G201" s="38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ht="15.75" customHeight="1">
      <c r="A202" s="37"/>
      <c r="B202" s="38"/>
      <c r="C202" s="38"/>
      <c r="D202" s="38"/>
      <c r="E202" s="38"/>
      <c r="F202" s="38"/>
      <c r="G202" s="38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ht="15.75" customHeight="1">
      <c r="A203" s="37"/>
      <c r="B203" s="38"/>
      <c r="C203" s="38"/>
      <c r="D203" s="38"/>
      <c r="E203" s="38"/>
      <c r="F203" s="38"/>
      <c r="G203" s="38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ht="15.75" customHeight="1">
      <c r="A204" s="37"/>
      <c r="B204" s="38"/>
      <c r="C204" s="38"/>
      <c r="D204" s="38"/>
      <c r="E204" s="38"/>
      <c r="F204" s="38"/>
      <c r="G204" s="38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ht="15.75" customHeight="1">
      <c r="A205" s="37"/>
      <c r="B205" s="38"/>
      <c r="C205" s="38"/>
      <c r="D205" s="38"/>
      <c r="E205" s="38"/>
      <c r="F205" s="38"/>
      <c r="G205" s="38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ht="15.75" customHeight="1">
      <c r="A206" s="37"/>
      <c r="B206" s="38"/>
      <c r="C206" s="38"/>
      <c r="D206" s="38"/>
      <c r="E206" s="38"/>
      <c r="F206" s="38"/>
      <c r="G206" s="38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ht="15.75" customHeight="1">
      <c r="A207" s="37"/>
      <c r="B207" s="38"/>
      <c r="C207" s="38"/>
      <c r="D207" s="38"/>
      <c r="E207" s="38"/>
      <c r="F207" s="38"/>
      <c r="G207" s="38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ht="15.75" customHeight="1">
      <c r="A208" s="37"/>
      <c r="B208" s="38"/>
      <c r="C208" s="38"/>
      <c r="D208" s="38"/>
      <c r="E208" s="38"/>
      <c r="F208" s="38"/>
      <c r="G208" s="38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ht="15.75" customHeight="1">
      <c r="A209" s="37"/>
      <c r="B209" s="38"/>
      <c r="C209" s="38"/>
      <c r="D209" s="38"/>
      <c r="E209" s="38"/>
      <c r="F209" s="38"/>
      <c r="G209" s="38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ht="15.75" customHeight="1">
      <c r="A210" s="37"/>
      <c r="B210" s="38"/>
      <c r="C210" s="38"/>
      <c r="D210" s="38"/>
      <c r="E210" s="38"/>
      <c r="F210" s="38"/>
      <c r="G210" s="38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ht="15.75" customHeight="1">
      <c r="A211" s="37"/>
      <c r="B211" s="38"/>
      <c r="C211" s="38"/>
      <c r="D211" s="38"/>
      <c r="E211" s="38"/>
      <c r="F211" s="38"/>
      <c r="G211" s="38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ht="15.75" customHeight="1">
      <c r="A212" s="37"/>
      <c r="B212" s="38"/>
      <c r="C212" s="38"/>
      <c r="D212" s="38"/>
      <c r="E212" s="38"/>
      <c r="F212" s="38"/>
      <c r="G212" s="38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ht="14.25" customHeight="1"/>
    <row r="231" spans="1:24" ht="14.25" customHeight="1"/>
    <row r="232" spans="1:24" ht="14.25" customHeight="1"/>
    <row r="233" spans="1:24" ht="14.25" customHeight="1"/>
    <row r="234" spans="1:24" ht="14.25" customHeight="1"/>
    <row r="235" spans="1:24" ht="14.25" customHeight="1"/>
    <row r="236" spans="1:24" ht="14.25" customHeight="1"/>
    <row r="237" spans="1:24" ht="14.25" customHeight="1"/>
    <row r="238" spans="1:24" ht="14.25" customHeight="1"/>
    <row r="239" spans="1:24" ht="14.25" customHeight="1"/>
    <row r="240" spans="1:24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3:E3"/>
  </mergeCells>
  <conditionalFormatting sqref="G5:G24">
    <cfRule type="containsBlanks" dxfId="1" priority="1">
      <formula>LEN(TRIM(G5))=0</formula>
    </cfRule>
    <cfRule type="expression" dxfId="0" priority="2">
      <formula>blank(G5)</formula>
    </cfRule>
  </conditionalFormatting>
  <pageMargins left="0.75" right="0.75" top="1" bottom="1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Z1000"/>
  <sheetViews>
    <sheetView workbookViewId="0"/>
  </sheetViews>
  <sheetFormatPr defaultColWidth="12.6640625" defaultRowHeight="15" customHeight="1"/>
  <cols>
    <col min="1" max="2" width="31.21875" customWidth="1"/>
    <col min="3" max="3" width="22.21875" customWidth="1"/>
    <col min="4" max="4" width="11" customWidth="1"/>
    <col min="5" max="26" width="10.77734375" customWidth="1"/>
  </cols>
  <sheetData>
    <row r="1" spans="1:26" ht="14.25" customHeight="1">
      <c r="A1" s="50" t="s">
        <v>169</v>
      </c>
      <c r="B1" s="50" t="s">
        <v>170</v>
      </c>
      <c r="C1" s="50" t="s">
        <v>171</v>
      </c>
      <c r="D1" s="50" t="s">
        <v>172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4.25" customHeight="1">
      <c r="A2" s="51" t="s">
        <v>173</v>
      </c>
      <c r="B2" s="51" t="s">
        <v>174</v>
      </c>
      <c r="C2" s="51" t="s">
        <v>175</v>
      </c>
      <c r="D2" s="51" t="s">
        <v>176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4.25" customHeight="1">
      <c r="A3" s="51" t="s">
        <v>177</v>
      </c>
      <c r="B3" s="51" t="s">
        <v>178</v>
      </c>
      <c r="C3" s="51" t="s">
        <v>175</v>
      </c>
      <c r="D3" s="51" t="s">
        <v>176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4.25" customHeight="1">
      <c r="A4" s="51" t="s">
        <v>179</v>
      </c>
      <c r="B4" s="51" t="s">
        <v>180</v>
      </c>
      <c r="C4" s="51" t="s">
        <v>175</v>
      </c>
      <c r="D4" s="51" t="s">
        <v>176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4.25" customHeight="1">
      <c r="A5" s="51" t="s">
        <v>181</v>
      </c>
      <c r="B5" s="51" t="s">
        <v>182</v>
      </c>
      <c r="C5" s="51" t="s">
        <v>175</v>
      </c>
      <c r="D5" s="51" t="s">
        <v>176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4.25" customHeight="1">
      <c r="A6" s="51" t="s">
        <v>183</v>
      </c>
      <c r="B6" s="51" t="s">
        <v>184</v>
      </c>
      <c r="C6" s="51" t="s">
        <v>175</v>
      </c>
      <c r="D6" s="51" t="s">
        <v>176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4.25" customHeight="1">
      <c r="A7" s="51" t="s">
        <v>185</v>
      </c>
      <c r="B7" s="51" t="s">
        <v>186</v>
      </c>
      <c r="C7" s="51" t="s">
        <v>175</v>
      </c>
      <c r="D7" s="51" t="s">
        <v>176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4.25" customHeight="1">
      <c r="A8" s="51" t="s">
        <v>187</v>
      </c>
      <c r="B8" s="51" t="s">
        <v>188</v>
      </c>
      <c r="C8" s="51" t="s">
        <v>175</v>
      </c>
      <c r="D8" s="51" t="s">
        <v>176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4.25" customHeight="1">
      <c r="A9" s="51" t="s">
        <v>189</v>
      </c>
      <c r="B9" s="51" t="s">
        <v>190</v>
      </c>
      <c r="C9" s="51" t="s">
        <v>175</v>
      </c>
      <c r="D9" s="51" t="s">
        <v>176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4.25" customHeight="1">
      <c r="A10" s="51" t="s">
        <v>191</v>
      </c>
      <c r="B10" s="51" t="s">
        <v>192</v>
      </c>
      <c r="C10" s="51" t="s">
        <v>175</v>
      </c>
      <c r="D10" s="51" t="s">
        <v>176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4.25" customHeight="1">
      <c r="A11" s="51" t="s">
        <v>193</v>
      </c>
      <c r="B11" s="51" t="s">
        <v>194</v>
      </c>
      <c r="C11" s="51" t="s">
        <v>175</v>
      </c>
      <c r="D11" s="51" t="s">
        <v>176</v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4.25" customHeight="1">
      <c r="A12" s="51" t="s">
        <v>195</v>
      </c>
      <c r="B12" s="51" t="s">
        <v>196</v>
      </c>
      <c r="C12" s="51" t="s">
        <v>175</v>
      </c>
      <c r="D12" s="51" t="s">
        <v>176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4.25" customHeight="1">
      <c r="A13" s="51" t="s">
        <v>197</v>
      </c>
      <c r="B13" s="51" t="s">
        <v>198</v>
      </c>
      <c r="C13" s="51" t="s">
        <v>175</v>
      </c>
      <c r="D13" s="51" t="s">
        <v>176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4.25" customHeight="1">
      <c r="A14" s="51" t="s">
        <v>199</v>
      </c>
      <c r="B14" s="51" t="s">
        <v>200</v>
      </c>
      <c r="C14" s="51" t="s">
        <v>175</v>
      </c>
      <c r="D14" s="51" t="s">
        <v>176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4.25" customHeight="1">
      <c r="A15" s="51" t="s">
        <v>201</v>
      </c>
      <c r="B15" s="51" t="s">
        <v>202</v>
      </c>
      <c r="C15" s="51" t="s">
        <v>175</v>
      </c>
      <c r="D15" s="51" t="s">
        <v>176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4.25" customHeight="1">
      <c r="A16" s="51" t="s">
        <v>203</v>
      </c>
      <c r="B16" s="51" t="s">
        <v>204</v>
      </c>
      <c r="C16" s="51" t="s">
        <v>175</v>
      </c>
      <c r="D16" s="51" t="s">
        <v>176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4.25" customHeight="1">
      <c r="A17" s="51" t="s">
        <v>205</v>
      </c>
      <c r="B17" s="51" t="s">
        <v>206</v>
      </c>
      <c r="C17" s="51" t="s">
        <v>175</v>
      </c>
      <c r="D17" s="51" t="s">
        <v>176</v>
      </c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4.25" customHeight="1">
      <c r="A18" s="51" t="s">
        <v>207</v>
      </c>
      <c r="B18" s="51" t="s">
        <v>208</v>
      </c>
      <c r="C18" s="51" t="s">
        <v>175</v>
      </c>
      <c r="D18" s="51" t="s">
        <v>176</v>
      </c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4.25" customHeight="1">
      <c r="A19" s="51" t="s">
        <v>209</v>
      </c>
      <c r="B19" s="51" t="s">
        <v>210</v>
      </c>
      <c r="C19" s="51" t="s">
        <v>175</v>
      </c>
      <c r="D19" s="51" t="s">
        <v>176</v>
      </c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4.25" customHeight="1">
      <c r="A20" s="51" t="s">
        <v>211</v>
      </c>
      <c r="B20" s="51" t="s">
        <v>212</v>
      </c>
      <c r="C20" s="51" t="s">
        <v>175</v>
      </c>
      <c r="D20" s="51" t="s">
        <v>176</v>
      </c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4.25" customHeight="1">
      <c r="A21" s="51" t="s">
        <v>213</v>
      </c>
      <c r="B21" s="51" t="s">
        <v>214</v>
      </c>
      <c r="C21" s="51" t="s">
        <v>175</v>
      </c>
      <c r="D21" s="51" t="s">
        <v>176</v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4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4.2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4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4.2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4.2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4.25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4.2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4.2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4.2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4.2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4.2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4.2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4.2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4.2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4.2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4.2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4.2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4.2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4.2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4.2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4.2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4.2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4.2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4.2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4.2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4.2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4.2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4.2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4.2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4.2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4.2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4.2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4.2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4.2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4.2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4.2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4.2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4.2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4.2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4.2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4.2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4.2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4.2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4.2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4.2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4.2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4.2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4.2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4.2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4.2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4.2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4.2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4.2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4.2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4.2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4.2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4.2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4.2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4.2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4.2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4.2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4.2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4.2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4.2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4.2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4.2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4.2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4.2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4.2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4.2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4.2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4.2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4.2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4.2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4.2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4.2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4.2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4.2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4.2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4.2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4.2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4.2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4.2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4.2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4.2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4.2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4.2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4.2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4.2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4.2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4.2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4.2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4.2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4.2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4.2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4.2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4.2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4.2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4.2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4.2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4.2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4.2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4.2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4.2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4.2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4.2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4.2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4.2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4.2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4.2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4.2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4.2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4.2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4.2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4.2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4.2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4.2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4.2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4.2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4.2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4.2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4.2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4.2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4.2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4.2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4.2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4.2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4.2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4.2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4.2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4.2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4.2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4.2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4.2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4.2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4.2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4.2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4.2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4.2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4.2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4.2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4.2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4.2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4.2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4.2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4.2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4.2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4.2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4.2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4.2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4.2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4.2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4.2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4.2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4.2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4.2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4.2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4.2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4.2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4.2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4.2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4.2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4.2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4.2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4.2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4.2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4.2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4.2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4.2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4.2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4.2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4.2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4.2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4.2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4.2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4.2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4.2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4.2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4.2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4.2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4.2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4.2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4.2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4.2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4.2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4.2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4.2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4.2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4.2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4.2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4.2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4.2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4.2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4.2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4.2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4.2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4.2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4.2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4.2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4.2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4.2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4.2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4.2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4.2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4.2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4.2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4.2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4.2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4.2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4.2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4.2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4.2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4.2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4.2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4.2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4.2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4.2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4.2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4.2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4.2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4.2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4.2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4.2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4.2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4.2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4.2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4.2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4.2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4.2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4.2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4.2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4.2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4.2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4.2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4.2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4.2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4.2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4.2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4.2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4.2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4.2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4.2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4.2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4.2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4.2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4.2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4.2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4.2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4.2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4.2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4.2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4.2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4.2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4.2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4.2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4.2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4.2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4.2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4.2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4.2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4.2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4.2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4.2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4.2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4.2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4.2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4.2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4.2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4.2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4.2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4.2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4.2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4.2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4.2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4.2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4.2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4.2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4.2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4.2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4.2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4.2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4.2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4.2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4.2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4.2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4.2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4.2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4.2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4.2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4.2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4.2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4.2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4.2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4.2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4.2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4.2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4.2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4.2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4.2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4.2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4.2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4.2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4.2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4.2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4.2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4.2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4.2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4.2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4.2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4.2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4.2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4.2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4.2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4.2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4.2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4.2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4.2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4.2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4.2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4.2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4.2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4.2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4.2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4.2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4.2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4.2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4.2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4.2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4.2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4.2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4.2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4.2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4.2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4.2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4.2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4.2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4.2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4.2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4.2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4.2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4.2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4.2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4.2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4.2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4.2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4.2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4.2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4.2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4.2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4.2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4.2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4.2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4.2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4.2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4.2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4.2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4.2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4.2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4.2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4.2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4.2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4.2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4.2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4.2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4.2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4.2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4.2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4.2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4.2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4.2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4.2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4.2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4.2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4.2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4.2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4.2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4.2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4.2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4.2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4.2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4.2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4.2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4.2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4.2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4.2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4.2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4.2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4.2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4.2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4.2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4.2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4.2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4.2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4.2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4.2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4.2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4.2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4.2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4.2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4.2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4.2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4.2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4.2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4.2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4.2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4.2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4.2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4.2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4.2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4.2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4.2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4.2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4.2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4.2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4.2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4.2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4.2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4.2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4.2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4.2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4.2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4.2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4.2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4.2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4.2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4.2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4.2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4.2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4.2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4.2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4.2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4.2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4.2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4.2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4.2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4.2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4.2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4.2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4.2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4.2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4.2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4.2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4.2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4.2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4.2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4.2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4.2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4.2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4.2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4.2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4.2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4.2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4.2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4.2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4.2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4.2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4.2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4.2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4.2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4.2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4.2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4.2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4.2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4.2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4.2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4.2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4.2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4.2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4.2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4.2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4.2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4.2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4.2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4.2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4.2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4.2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4.2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4.2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4.2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4.2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4.2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4.2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4.2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4.2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4.2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4.2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4.2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4.2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4.2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4.2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4.2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4.2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4.2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4.2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4.2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4.2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4.2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4.2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4.2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4.2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4.2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4.2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4.2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4.2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4.2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4.2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4.2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4.2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4.2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4.2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4.2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4.2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4.2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4.2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4.2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4.2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4.2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4.2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4.2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4.2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4.2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4.2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4.2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4.2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4.2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4.2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4.2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4.2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4.2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4.2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4.2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4.2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4.2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4.2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4.2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4.2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4.2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4.2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4.2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4.2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4.2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4.2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4.2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4.2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4.2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4.2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4.2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4.2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4.2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4.2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4.2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4.2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4.2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4.2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4.2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4.2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4.2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4.2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4.2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4.2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4.2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4.2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4.2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4.2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4.2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4.2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4.2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4.2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4.2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4.2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4.2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4.2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4.2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4.2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4.2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4.2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4.2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4.2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4.2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4.2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4.2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4.2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4.2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4.2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4.2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4.2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4.2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4.2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4.2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4.2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4.2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4.2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4.2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4.2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4.2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4.2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4.2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4.2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4.2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4.2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4.2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4.2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4.2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4.2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4.2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4.2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4.2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4.2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4.2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4.2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4.2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4.2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4.2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4.2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4.2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4.2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4.2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4.2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4.2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4.2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4.2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4.2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4.2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4.2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4.2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4.2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4.2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4.2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4.2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4.2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4.2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4.2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4.2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4.2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4.2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4.2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4.2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4.2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4.2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4.2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4.2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4.2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4.2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4.2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4.2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4.2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4.2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4.2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4.2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4.2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4.2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4.2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4.2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4.2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4.2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4.2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4.2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4.2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4.2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4.2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4.2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4.2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4.2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4.2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4.2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4.2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4.2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4.2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4.2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4.2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4.2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4.2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4.2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4.2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4.2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4.2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4.2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4.2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4.2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4.2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4.2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4.2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4.2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4.2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4.2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4.2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4.2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4.2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4.2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4.2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4.2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4.2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4.2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4.2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4.2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4.2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4.2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4.2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4.2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4.2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4.2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4.2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4.2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4.2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4.2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4.2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4.2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4.2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4.2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4.2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4.2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4.2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4.2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4.2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4.2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4.2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4.2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4.2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4.2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4.2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4.2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4.2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4.2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4.2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4.2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4.2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4.2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4.2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4.2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4.2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4.2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4.2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4.2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4.2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4.2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4.2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4.2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4.2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4.2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4.2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4.2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4.2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4.2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4.2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4.2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4.2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4.2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4.2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4.2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4.2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4.2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4.2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4.2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4.2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4.2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4.2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4.2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4.2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4.2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4.2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4.2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4.2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4.2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4.2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4.2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4.2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4.2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4.2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4.2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4.2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4.2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4.2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4.2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4.2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4.2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4.2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4.2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4.2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4.2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4.2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4.2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4.2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4.2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4.2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4.2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4.2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4.2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4.2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4.2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4.2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4.2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4.2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4.2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4.2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4.2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4.2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4.2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4.2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4.2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4.2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4.2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4.2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4.2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4.2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4.2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4.2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4.2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4.2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4.2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4.2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4.2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4.2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4.2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4.2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4.2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4.2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4.2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4.2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4.2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4.2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4.2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4.2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4.2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4.2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4.2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4.2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4.2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4.2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4.2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4.2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4.2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4.2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4.2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4.2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4.2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4.2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4.2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4.2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4.2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4.2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4.2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4.2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4.2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4.2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4.2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4.2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4.2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4.2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4.2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4.2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4.2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4.2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4.2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4.2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4.2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4.2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4.2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4.2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4.2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4.2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4.2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4.2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4.2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4.2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4.2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4.2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4.2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4.2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4.2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4.2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4.2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4.2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4.2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4.2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4.2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4.2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4.2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4.2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4.2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4.2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4.2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4.2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4.2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4.2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4.2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4.2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4.2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4.2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4.2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4.2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4.2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4.2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4.2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4.2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4.2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4.2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4.2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4.2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4.2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4.2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4.2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4.2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4.2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4.2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4.2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4.2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4.2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4.2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4.2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4.2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4.2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4.2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4.2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4.2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4.2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4.2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4.2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4.2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4.2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4.2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4.2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4.2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4.2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4.2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4.2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4.2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4.2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4.2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4.2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4.2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4.2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4.2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4.2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4.2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4.2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4.2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4.2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4.2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4.2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4.2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4.2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4.2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4.2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4.2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4.2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4.2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4.2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4.2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4.2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4.2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4.2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4.2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4.2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4.2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4.2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4.2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4.2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4.2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4.2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4.2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4.2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4.2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4.2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4.2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4.2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4.2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4.2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4.2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4.2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4.2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4.2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4.2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4.2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4.2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4.2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4.2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4.2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4.2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4.2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Consumables</vt:lpstr>
      <vt:lpstr>Consumables 2k samples</vt:lpstr>
      <vt:lpstr>Equipment</vt:lpstr>
      <vt:lpstr>NOMADS-MVP Primers</vt:lpstr>
      <vt:lpstr>num_samples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Bridges</dc:creator>
  <cp:lastModifiedBy>Dan Bridges</cp:lastModifiedBy>
  <dcterms:created xsi:type="dcterms:W3CDTF">2025-01-17T07:15:53Z</dcterms:created>
  <dcterms:modified xsi:type="dcterms:W3CDTF">2026-05-20T09:41:29Z</dcterms:modified>
</cp:coreProperties>
</file>